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Negin\Desktop\"/>
    </mc:Choice>
  </mc:AlternateContent>
  <xr:revisionPtr revIDLastSave="0" documentId="13_ncr:1_{B850083A-DC5F-4B1D-B93B-1ACC7EB9A77B}" xr6:coauthVersionLast="47" xr6:coauthVersionMax="47" xr10:uidLastSave="{00000000-0000-0000-0000-000000000000}"/>
  <bookViews>
    <workbookView xWindow="-108" yWindow="-108" windowWidth="23256" windowHeight="13176" tabRatio="669" xr2:uid="{00000000-000D-0000-FFFF-FFFF00000000}"/>
  </bookViews>
  <sheets>
    <sheet name="Q" sheetId="112" r:id="rId1"/>
    <sheet name="Process" sheetId="113" r:id="rId2"/>
    <sheet name="Concat" sheetId="114" r:id="rId3"/>
    <sheet name="D" sheetId="117" r:id="rId4"/>
    <sheet name="Result" sheetId="116" r:id="rId5"/>
  </sheets>
  <definedNames>
    <definedName name="_xlnm._FilterDatabase" localSheetId="0" hidden="1">Q!$A$1:$BB$222</definedName>
    <definedName name="_xlnm.Criteria" localSheetId="0">Q!$F$8</definedName>
    <definedName name="_xlnm.Print_Area" localSheetId="2">Concat!$B$5:$I$20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12" l="1"/>
  <c r="F31" i="117"/>
  <c r="E31" i="117"/>
  <c r="D31" i="117"/>
  <c r="C31" i="117"/>
  <c r="A31" i="117"/>
  <c r="G29" i="117"/>
  <c r="G28" i="117"/>
  <c r="G27" i="117"/>
  <c r="G26" i="117"/>
  <c r="G25" i="117"/>
  <c r="G24" i="117"/>
  <c r="G23" i="117"/>
  <c r="G22" i="117"/>
  <c r="G21" i="117"/>
  <c r="G20" i="117"/>
  <c r="G19" i="117"/>
  <c r="G18" i="117"/>
  <c r="G17" i="117"/>
  <c r="G16" i="117"/>
  <c r="G15" i="117"/>
  <c r="G14" i="117"/>
  <c r="G13" i="117"/>
  <c r="G12" i="117"/>
  <c r="G11" i="117"/>
  <c r="G10" i="117"/>
  <c r="G9" i="117"/>
  <c r="G8" i="117"/>
  <c r="G7" i="117"/>
  <c r="G6" i="117"/>
  <c r="G5" i="117"/>
  <c r="G4" i="117"/>
  <c r="G3" i="117"/>
  <c r="G2" i="117"/>
  <c r="C21" i="113"/>
  <c r="E30" i="116"/>
  <c r="G30" i="116"/>
  <c r="F30" i="116"/>
  <c r="D30" i="116"/>
  <c r="H29" i="116"/>
  <c r="H20" i="116"/>
  <c r="H21" i="116"/>
  <c r="H22" i="116"/>
  <c r="H23" i="116"/>
  <c r="H24" i="116"/>
  <c r="H25" i="116"/>
  <c r="H26" i="116"/>
  <c r="H27" i="116"/>
  <c r="H28" i="116"/>
  <c r="H12" i="116"/>
  <c r="H13" i="116"/>
  <c r="H14" i="116"/>
  <c r="H15" i="116"/>
  <c r="H16" i="116"/>
  <c r="H17" i="116"/>
  <c r="H18" i="116"/>
  <c r="H19" i="116"/>
  <c r="H11" i="116"/>
  <c r="H10" i="116"/>
  <c r="H9" i="116"/>
  <c r="H8" i="116"/>
  <c r="H7" i="116"/>
  <c r="H6" i="116"/>
  <c r="H5" i="116"/>
  <c r="H4" i="116"/>
  <c r="H3" i="116"/>
  <c r="H2" i="116"/>
  <c r="B30" i="116"/>
  <c r="C9" i="113"/>
  <c r="C4" i="113"/>
  <c r="D62" i="113"/>
  <c r="D61" i="113"/>
  <c r="D60" i="113"/>
  <c r="D59" i="113"/>
  <c r="D58" i="113"/>
  <c r="D57" i="113"/>
  <c r="D56" i="113"/>
  <c r="D55" i="113"/>
  <c r="D54" i="113"/>
  <c r="D53" i="113"/>
  <c r="D52" i="113"/>
  <c r="D51" i="113"/>
  <c r="D50" i="113"/>
  <c r="D49" i="113"/>
  <c r="D48" i="113"/>
  <c r="D47" i="113"/>
  <c r="D46" i="113"/>
  <c r="D45" i="113"/>
  <c r="D44" i="113"/>
  <c r="D42" i="113"/>
  <c r="D41" i="113"/>
  <c r="D40" i="113"/>
  <c r="C42" i="113"/>
  <c r="C41" i="113"/>
  <c r="C43" i="113"/>
  <c r="D43" i="113"/>
  <c r="D39" i="113"/>
  <c r="D38" i="113"/>
  <c r="D37" i="113"/>
  <c r="D36" i="113"/>
  <c r="D35" i="113"/>
  <c r="D34" i="113"/>
  <c r="D33" i="113"/>
  <c r="D32" i="113"/>
  <c r="D31" i="113"/>
  <c r="D30" i="113"/>
  <c r="D29" i="113"/>
  <c r="D28" i="113"/>
  <c r="D27" i="113"/>
  <c r="D26" i="113"/>
  <c r="D25" i="113"/>
  <c r="D24" i="113"/>
  <c r="D23" i="113"/>
  <c r="D22" i="113"/>
  <c r="D21" i="113"/>
  <c r="D20" i="113"/>
  <c r="D19" i="113"/>
  <c r="D18" i="113"/>
  <c r="D17" i="113"/>
  <c r="D16" i="113"/>
  <c r="D15" i="113"/>
  <c r="D14" i="113"/>
  <c r="D13" i="113"/>
  <c r="D12" i="113"/>
  <c r="D11" i="113"/>
  <c r="D10" i="113"/>
  <c r="D9" i="113"/>
  <c r="D8" i="113"/>
  <c r="D7" i="113"/>
  <c r="D6" i="113"/>
  <c r="D5" i="113"/>
  <c r="D4" i="113"/>
  <c r="D3" i="113"/>
  <c r="C62" i="113"/>
  <c r="C61" i="113"/>
  <c r="C60" i="113"/>
  <c r="C59" i="113"/>
  <c r="C58" i="113"/>
  <c r="C57" i="113"/>
  <c r="C56" i="113"/>
  <c r="C55" i="113"/>
  <c r="C54" i="113"/>
  <c r="C53" i="113"/>
  <c r="C52" i="113"/>
  <c r="C51" i="113"/>
  <c r="C50" i="113"/>
  <c r="C49" i="113"/>
  <c r="C48" i="113"/>
  <c r="C47" i="113"/>
  <c r="C46" i="113"/>
  <c r="C45" i="113"/>
  <c r="C44" i="113"/>
  <c r="C40" i="113"/>
  <c r="C39" i="113"/>
  <c r="C38" i="113"/>
  <c r="C37" i="113"/>
  <c r="C36" i="113"/>
  <c r="C35" i="113"/>
  <c r="C34" i="113"/>
  <c r="C33" i="113"/>
  <c r="C32" i="113"/>
  <c r="C31" i="113"/>
  <c r="C30" i="113"/>
  <c r="C29" i="113"/>
  <c r="C28" i="113"/>
  <c r="C27" i="113"/>
  <c r="C26" i="113"/>
  <c r="C25" i="113"/>
  <c r="C24" i="113"/>
  <c r="C23" i="113"/>
  <c r="C22" i="113"/>
  <c r="C20" i="113"/>
  <c r="C19" i="113"/>
  <c r="C18" i="113"/>
  <c r="C17" i="113"/>
  <c r="C16" i="113"/>
  <c r="C15" i="113"/>
  <c r="C14" i="113"/>
  <c r="C13" i="113"/>
  <c r="C12" i="113"/>
  <c r="C11" i="113"/>
  <c r="C10" i="113"/>
  <c r="C8" i="113"/>
  <c r="C7" i="113"/>
  <c r="C6" i="113"/>
  <c r="C5" i="113"/>
  <c r="C3" i="113"/>
  <c r="F4" i="113" l="1"/>
  <c r="F5" i="113" s="1"/>
  <c r="I4" i="113"/>
  <c r="G4" i="113"/>
  <c r="H4" i="113"/>
  <c r="F8" i="113" l="1"/>
  <c r="H5" i="113"/>
  <c r="H8" i="113"/>
  <c r="G5" i="113"/>
  <c r="G8" i="113"/>
  <c r="I5" i="113"/>
  <c r="I8" i="113"/>
  <c r="E5" i="114" l="1"/>
</calcChain>
</file>

<file path=xl/sharedStrings.xml><?xml version="1.0" encoding="utf-8"?>
<sst xmlns="http://schemas.openxmlformats.org/spreadsheetml/2006/main" count="220" uniqueCount="185">
  <si>
    <t>E</t>
  </si>
  <si>
    <t>N</t>
  </si>
  <si>
    <t>I</t>
  </si>
  <si>
    <t>S</t>
  </si>
  <si>
    <t>F</t>
  </si>
  <si>
    <t>T</t>
  </si>
  <si>
    <t>P</t>
  </si>
  <si>
    <t>J</t>
  </si>
  <si>
    <t>الف</t>
  </si>
  <si>
    <t>ب</t>
  </si>
  <si>
    <t>نظر شما</t>
  </si>
  <si>
    <t>آزمون شخصیت شناسی MBTI</t>
  </si>
  <si>
    <t xml:space="preserve">برای دیدن نتایج آزمون به صفحه (سربرگ) بعد مراجعه کنید. </t>
  </si>
  <si>
    <t>I-E</t>
  </si>
  <si>
    <t>S-N</t>
  </si>
  <si>
    <t>T-F</t>
  </si>
  <si>
    <t>J-P</t>
  </si>
  <si>
    <t>سعید محمدی</t>
  </si>
  <si>
    <t>شایان مرادی</t>
  </si>
  <si>
    <t>قدیر شادکام</t>
  </si>
  <si>
    <t>محراب کاظم لو</t>
  </si>
  <si>
    <t>محمد زمانی</t>
  </si>
  <si>
    <t>محمد علی آبادی</t>
  </si>
  <si>
    <t>محمد مهدی گل افشان</t>
  </si>
  <si>
    <t>محمد رضا بیابانی</t>
  </si>
  <si>
    <t>محمدرضا مشهد نعمتی</t>
  </si>
  <si>
    <t>محمد پورقلی زاده</t>
  </si>
  <si>
    <t>محمد رستمی</t>
  </si>
  <si>
    <t>ابراهیم ابراهیمی</t>
  </si>
  <si>
    <t>آرمان جوانفرد</t>
  </si>
  <si>
    <t>آرمین بشیری</t>
  </si>
  <si>
    <t>امیر حسین محمدی</t>
  </si>
  <si>
    <t>امیر حسین میرزا عرب</t>
  </si>
  <si>
    <t>امیر محمد غیاثوند</t>
  </si>
  <si>
    <t>ایلیا ابراهیمی</t>
  </si>
  <si>
    <t>ایلیا نوروز پور</t>
  </si>
  <si>
    <t>رضا اسماعیل زاده</t>
  </si>
  <si>
    <t>سالار علی پناه</t>
  </si>
  <si>
    <t>سامان قلیلی</t>
  </si>
  <si>
    <t>سروش قمری</t>
  </si>
  <si>
    <t>سهیل افشاری</t>
  </si>
  <si>
    <t>علی اکبر باصری</t>
  </si>
  <si>
    <t>علی بختیاری</t>
  </si>
  <si>
    <t>محمد حسین حرآبادی</t>
  </si>
  <si>
    <t>مهدی رحیمی</t>
  </si>
  <si>
    <t>Name</t>
  </si>
  <si>
    <t>Grade</t>
  </si>
  <si>
    <t>Q-Num</t>
  </si>
  <si>
    <t>تیپ شخصیتی شما</t>
  </si>
  <si>
    <t>است.</t>
  </si>
  <si>
    <t>الف: معمولاً احساسات و عواطف خود را در خویش نگه می دارم.</t>
  </si>
  <si>
    <t>ب: معمولاً احساسات و عواطف خودرا با دیگران و به راحتی درمیان می گذارم.</t>
  </si>
  <si>
    <t>الف: برای من امور قطعی، عینی و مشخص مهم هستند.</t>
  </si>
  <si>
    <t>ب: برای من ایده ها، استنباط ها و الهامات مهم هستند.</t>
  </si>
  <si>
    <t>الف: هنگام تصمیم گیری به آنچه که منطق و خرد بر آن حکم می کند، عمل می کنم.</t>
  </si>
  <si>
    <t>ب: هنگام تصمیم گیری به آنچه که احساسات و دلم گواه می دهد، عمل می کنم.</t>
  </si>
  <si>
    <t>الف: دوست دارم در شرایط انعطاف پذیر و متغیری زندگی کنم.</t>
  </si>
  <si>
    <t>ب: دوست دارم همه چیز منظم و برنامه ریزی شده باشد.</t>
  </si>
  <si>
    <t>الف: دوست دارم در زمینه های محدودی اطلاعات داشته باشم ولی در هر زمینه عمیق و کامل.</t>
  </si>
  <si>
    <t xml:space="preserve">ب: دوست دارم در زمینه های زیادی اطلاعات داشته باشم ولی در هر زمینه تا حد کم و سطحی. </t>
  </si>
  <si>
    <t xml:space="preserve">الف: بیشتر اوقات به واقعیات عینی (آنچه که وجود دارد ) توجه می کنم. </t>
  </si>
  <si>
    <t>ب:  بیشتر اوقات حقایق ( آنچه که باید وجود داشته باشد ) را در ذهن و تخیل خود مجسم می کنم.</t>
  </si>
  <si>
    <t>الف: از نظر من یک قاضی و داور عادل برای جامعه مفیدتر است.</t>
  </si>
  <si>
    <t>ب: از نظر من یک معلم و مربی مهربان برای جامعه مفیدتر است.</t>
  </si>
  <si>
    <t xml:space="preserve">الف: ترجیحاً ملاقاتها و دیدارهای خود را بدون برنامه قبلی و آزادانه انجام می دهم. </t>
  </si>
  <si>
    <t>ب:: ترجیحاً دیدار با افراد و وعده ملاقات خود را از پیش تعیین می کنم.</t>
  </si>
  <si>
    <t>الف: کم حرف و محتاط هستم و علاقه ای به جلب توجه دیگران به خود ندارم.</t>
  </si>
  <si>
    <t>ب: توجه دیگران را به خود جلب می کنم.</t>
  </si>
  <si>
    <t>الف: اگر معلم بودم ترجیح می دادم دروسی را تدریس کنم که واقعیات و امور قطعی وعینی را شامل شوند. (مانند جغرافیا)</t>
  </si>
  <si>
    <t>ب: اگر معلم بودم، ترجیحاً دروسی را تدریس می کردم که حقایق و نظریه ها و تئوری ها را شامل شوند. (مانند فلسفه)</t>
  </si>
  <si>
    <t>الف: قاطع، محکم و استوار هستم.</t>
  </si>
  <si>
    <t xml:space="preserve">ب: انعطاف پذیر، ملایم و لطیف هستم. </t>
  </si>
  <si>
    <t>الف: غالباً انجام کارهای پیش پا افتاده و جزئی را فراموش می کنم.</t>
  </si>
  <si>
    <t>ب: به منظور جلوگیری از فراموش شدن انجام کارها، آن ها را یادداشت می کنم.</t>
  </si>
  <si>
    <t>الف: در مهمانی ها، جلسات وگردهمایی ها منتظر می مانم تا دیگران به سوی من بیایند.</t>
  </si>
  <si>
    <t>ب: در مهمانی ها، جلسات وگردهمایی ها من سر صحبت را با دیگران باز می کنم.</t>
  </si>
  <si>
    <t>الف: به جزئیات امور توجه زیادی دارم.</t>
  </si>
  <si>
    <t>ب:  بیشتر کلیت هر موضوعی برایم مهم است و به جزئیات آن توجه زیادی نمی کنم.</t>
  </si>
  <si>
    <t>الف:  به آینده اهمیت زیادی داده و  برای آن برنامه ریزی می کنم.</t>
  </si>
  <si>
    <t>ب: خیلی به آینده فکر نمی کنم.</t>
  </si>
  <si>
    <t>الف: معمولاً کارها را شروع می کنم و حین اجرا به رفع اشکالات اجرایی وتدارک مورد نیاز می پردازم.</t>
  </si>
  <si>
    <t>ب: قبل از اجرای طرح ها وکارها برنامه ریزی  انجام می دهم.</t>
  </si>
  <si>
    <t>الف: مایل هستم دوستان کم همراه با ارتباط زیاد و صمیمانه داشته باشم.</t>
  </si>
  <si>
    <t>ب: مایل هستم دوستان زیاد همراه با ارتباط محدود داشته باشم.</t>
  </si>
  <si>
    <t>الف: به استفاده از امکانات و توانایی های موجود تاکید دارم.</t>
  </si>
  <si>
    <t xml:space="preserve">ب: نوآوری و خلاقیت داشتن در کارها برایم اولویت دارد. </t>
  </si>
  <si>
    <t>الف: بیشتر پیرو منطق و دلیل هستم.</t>
  </si>
  <si>
    <t xml:space="preserve">ب: بیشتر پیرو احساس و عاطفه هستم. </t>
  </si>
  <si>
    <t>الف: در انجام کارهایی که از قبل پیش بینی نشده و یا فعالیت هایی که به سرعت و عکس العمل فوری نیاز دارد، موفق هستم.</t>
  </si>
  <si>
    <t>ب: در انجام کارهایی که بر اساس طرح و برنامه قبلی می باشد موفق هستم.</t>
  </si>
  <si>
    <t>الف: به طور معمول دوستان کمی داشته ولی روابط صمیمانه ای با آنها دارم.</t>
  </si>
  <si>
    <t>ب: به طور معمول با افراد زیادی دوستی و آشنایی دارم.</t>
  </si>
  <si>
    <t>الف: عمدتا از زندگی در زمان حال لذت زیادی برده و خیلی به آینده فکر نمی کنم.</t>
  </si>
  <si>
    <t>ب: به آینده توجه زیادی داشته و آن را پیش بینی می کنم.</t>
  </si>
  <si>
    <t>الف: معمولا مغز من بر قلب من حاکم است.</t>
  </si>
  <si>
    <t>ب: معمولا قلب من بر مغز من حاکم است.</t>
  </si>
  <si>
    <t>الف: معمولاً در کارهای روزانه مایلم بر حسب ضرورتها و فوریت هایی که پیش می آید عمل کنم.</t>
  </si>
  <si>
    <t>ب: معمولاً در کارهای روزانه مایلم که طبق برنامه عمل کنم.</t>
  </si>
  <si>
    <t>الف: از احساسات و عواطف درونی خود کمتر با دیگران صحبت می کنم.</t>
  </si>
  <si>
    <t>ب: افکار و عواطف خود را آزاد و راحت بیان می کنم.</t>
  </si>
  <si>
    <t>الف: کلمات مشخص و دقیق را ترجیح داده و بکار می برم.</t>
  </si>
  <si>
    <t>ب: کلمات تمثیلی و کنایه ای را ترجیح داده و بکار می برم.</t>
  </si>
  <si>
    <t>الف:  در تصمیم گیری ها رعایت عدالت و انصاف از همه چیز برایم مهم تر است.</t>
  </si>
  <si>
    <t xml:space="preserve">ب:  در تصمیم گیری ها رعایت حال و شرایط دیگران از همه چیز برایم مهم تر است. </t>
  </si>
  <si>
    <t>الف: معمولاً کارها را شروع می کنم و در حین اجرا به رفع مشکلات پیش آمده می پردازم.</t>
  </si>
  <si>
    <t>ب: معمولاً قبل از شروع کارها مقدمات کار را آماده و مشکلات را پیش بینی می کنم.</t>
  </si>
  <si>
    <t>الف: کارهای فردی را ترجیح می دهم.</t>
  </si>
  <si>
    <t>ب: کارهای گروهی را ترجیح می دهم.</t>
  </si>
  <si>
    <t>الف: واقعیات ( آنچه که هست ) و پدیده ها برایم جالب اند.</t>
  </si>
  <si>
    <t>ب: حقایق ( آنچه که باید باشد) و ایده ها برایم جالب اند.</t>
  </si>
  <si>
    <t>الف: برای عدل و انصاف ارزش زیادی قائلم.</t>
  </si>
  <si>
    <t>ب: برای بذل و بخشش ارزش زیادی قائلم.</t>
  </si>
  <si>
    <t>الف: تهیه فهرست از کار هایی که باید در روز تعطیل انجام داد را کاری بیهوده و عبث می دانم.</t>
  </si>
  <si>
    <t>ب: تهیه فهرست از کارهایی که باید در روز تعطیل انجام داد را کاری جدی و سودمند می دانم.</t>
  </si>
  <si>
    <t>الف: معمولاً در مهمانی ها و مجالس با شخص یا اشخاصی که از قبل می شناسم گفتگو می کنم.</t>
  </si>
  <si>
    <t>ب: معمولاً در مهمانی ها و مجالس به دنبال اشخاص جدیدی هستم تا با آنها گفتگو کرده و آشنا شوم.</t>
  </si>
  <si>
    <t>الف: دوستان من اکثراً واقع گرا و واقع بین هستند.</t>
  </si>
  <si>
    <t>ب: دوستان من اکثراً کسانی هستند که قوه تخیل قوی دارند.</t>
  </si>
  <si>
    <t>الف: به نظر من فردی که با دلایل و استدلال با موضوعات برخورد می کند، بهتر است.</t>
  </si>
  <si>
    <t xml:space="preserve">ب: به نظر من فردی که با عاطفه و احساس واقعی و دلسوزی با موضوعات برخورد می کند، بهتر است. </t>
  </si>
  <si>
    <t>الف: غالباً خود را ملزم به انجام کارها در سر وقت معین و مشخص ندانسته و خود را در محدوده زمان مقید نمی کنم.</t>
  </si>
  <si>
    <t>ب: غالباً برنامه خود را  به طور مشخص و دقیق تعیین کرده و بر انجام آنها در سر وقت مقرر اصرار می ورزم.</t>
  </si>
  <si>
    <t>الف: آرام و متفکر هستم.</t>
  </si>
  <si>
    <t>ب: با نشاط و فعال هستم.</t>
  </si>
  <si>
    <t>الف: دوست دارم فردی واقع گرا و دقیق باشم.</t>
  </si>
  <si>
    <t>ب: دوست دارم فردی مبتکر و خلاق باشم.</t>
  </si>
  <si>
    <t>الف: به تجزیه وتحلیل موضوعات علاقه دارم.</t>
  </si>
  <si>
    <t>ب: به فیلم ها و بحث های عاطفی که به مسائل انسانی می پردازند، علاقه دارم.</t>
  </si>
  <si>
    <t>الف: معمولاً زندگی خود را با توجه به اوضاع واحوالی که پیش می آید، تنظیم و اداره می کنم.</t>
  </si>
  <si>
    <t>ب: معمولاً کارهایی را که مایل به انجام آن هستم یادداشت کرده یا حداقل به طور مرتب به خاطر می سپارم.</t>
  </si>
  <si>
    <t>الف: کم حرف هستم.</t>
  </si>
  <si>
    <t>ب: خوش صحبت هستم.</t>
  </si>
  <si>
    <t>الف: هر ایده جدیدی را اگر قابل اجرا باشد می پذیرم.</t>
  </si>
  <si>
    <t xml:space="preserve">ب: برای هر ایده جدیدی به دلیل نو بودن آن (بدون توجه به اجرایی بودن یا نبودن آن) ارزش زیادی قائل هستم. </t>
  </si>
  <si>
    <t>الف: دوست دارم فردی متفکر باشم که عاقلانه رفتار می کند.</t>
  </si>
  <si>
    <t>ب: دوست دارم فردی عاطفی باشم که با احساسات انسانی رفتار می کند.</t>
  </si>
  <si>
    <t>الف: بعضی افراد مرا آدمی بی نظم و دارای زندگی شلوغ می دانند.</t>
  </si>
  <si>
    <t>ب: بعضی افراد مرا آدمی خشک و غیر قابل انعطاف می دانند.</t>
  </si>
  <si>
    <t>الف: پس از مکث و تأمل کافی، نسبت به بحث یا سؤالات مطرح شده  اظهار نظر می کنم.</t>
  </si>
  <si>
    <t>ب: در هر لحظه که فرصت شد سؤالات را مطرح یا نظر خود را اعلام می کنم.</t>
  </si>
  <si>
    <t>الف: ثبات و استحکام را دوست دارم.</t>
  </si>
  <si>
    <t>ب: تغییر و انعطاف را دوست دارم.</t>
  </si>
  <si>
    <t>الف: بیشتر از نتیجه گیری های منطقی و استدلال استفاده می کنم.</t>
  </si>
  <si>
    <t>ب: بیشتر بر اساس عواطف و عقاید شخصی نسبت به زندگی یا افراد عمل می کنم.</t>
  </si>
  <si>
    <t>الف: هر وقت که مناسب بود و فرصت دست داد نسبت به انجام کارها آزادانه و بدون فشار اقدام می کنم.</t>
  </si>
  <si>
    <t>ب: این مهم است که از قبل بدانم چه کاری یا چه چیزی از من انتظار دارند تا به انجام آنها بپردازم.</t>
  </si>
  <si>
    <t>الف: ترجیح می دهم در جمع افراد توسط فرد دیگری معرفی شوم.</t>
  </si>
  <si>
    <t>ب: معمولاً در جمع افراد، دیگران را به یکدیگر معرفی می کنم.</t>
  </si>
  <si>
    <t>الف: تلاش می کنم با رعایت ترتیب، مراحل پیش بینی شده کارها را انجام دهم.</t>
  </si>
  <si>
    <t>ب: هنگام انجام دادن کارها از قسمت های بی اهمیت آن صرف نظر می کنم.</t>
  </si>
  <si>
    <t>الف: معمولاً بدون فوت وقت یک کار یا پروژه را شروع و به هر قسمتی از آن که ممکن باشد زودتر می پردازم.</t>
  </si>
  <si>
    <t>ب: معمولاً در انجام کارها آنها را به اجزای مشخص تقسیم کرده وسپس به ترتیب به انجام بخش های مشخص شده می پردازم.</t>
  </si>
  <si>
    <t>الف: به کارهای فردی ( یا حداکثر با یکی دو نفر دیگر ) علاقمندم.</t>
  </si>
  <si>
    <t>ب: به کارهای گروهی علاقمندم.</t>
  </si>
  <si>
    <t>الف: یکی از اشکالات اساسی زندگی من، یکنواختی و چسبیدن به برنامه و کار مشخص بوده است.</t>
  </si>
  <si>
    <t>ب: یکی از اشکالات اساسی زندگی من از شاخه ای به شاخه ای پریدن و داشتن برنامه های متعدد بوده است.</t>
  </si>
  <si>
    <t xml:space="preserve">الف: قاطع بودن برای من اولویت است. </t>
  </si>
  <si>
    <t xml:space="preserve">ب: ملایم و احساسی بودن برای من اولویت است. </t>
  </si>
  <si>
    <t>الف: علاقمندم جلسات و گردهمایی ها هنگامی شروع شود که همگی افراد حضور و آمادگی لازم را داشته و احساس راحتی کنند.</t>
  </si>
  <si>
    <t>ب: علاقمندم جلسات رأس ساعت مقرر شروع شود و روی وقت شناسی تأکید دارم.</t>
  </si>
  <si>
    <t>الف: از نظر دیگران ممکن است فردی گوشه گیر و منزوی به نظر برسم.</t>
  </si>
  <si>
    <t>ب: از نظر دیگران ممکن است فردی پر حرف وسطحی به نظر برسم.</t>
  </si>
  <si>
    <t>الف: کارها را با نظم و ترتیب و مرحله به مرحله انجام می دهم.</t>
  </si>
  <si>
    <t>ب: قسمت های مهم و جالب کار را زودتر انجام می دهم.</t>
  </si>
  <si>
    <t>الف: رعایت اصول و قوانین برایم بسیار مهم است.</t>
  </si>
  <si>
    <t>ب: مهربانی و گذشت در زندگی برایم بسیار مهم است.</t>
  </si>
  <si>
    <t>الف: مقید بودن به برنامه ای که از قبل مشخص شده باشد برای من جالب نیست.</t>
  </si>
  <si>
    <t>ب: از انجام دادن کارهایی که از قبل مشخص شده باشد احساس رضایت دارم.</t>
  </si>
  <si>
    <t>J / P</t>
  </si>
  <si>
    <t>T / F</t>
  </si>
  <si>
    <t>I / E</t>
  </si>
  <si>
    <t>S / N</t>
  </si>
  <si>
    <t>پاسخگوی گرامی؛ هر یک از عبارات زیر را به دقت بخوانید و مشخص کنید کدام یک از عبارات شما را بهتر توصیف می‌کند. جلوی همان عبارت عدد «1» بگذارید.</t>
  </si>
  <si>
    <t xml:space="preserve">الف: با گروه یا افرادی که با آنها کار می کنم، براساس تجزیه و تحلیل دقیق اوضاع و اطلاعات موجود اظهار نظر می کنم. </t>
  </si>
  <si>
    <t>ب: با گروه یا افرادی که با آنها کار می کنم، براساس درک نیازهایشان، عواطف انسانی و هم‌دلی اظهار نظر می کنم.</t>
  </si>
  <si>
    <t>Type</t>
  </si>
  <si>
    <t>#</t>
  </si>
  <si>
    <t>نام و نام خانوادگی:</t>
  </si>
  <si>
    <t>تاریخ تولد:</t>
  </si>
  <si>
    <t>پایه و کلاس:</t>
  </si>
  <si>
    <t>جنس:</t>
  </si>
  <si>
    <t>رضا امیرخانی</t>
  </si>
  <si>
    <t>مرد / زن</t>
  </si>
  <si>
    <t>ENFP</t>
  </si>
  <si>
    <t>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</si>
</sst>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3000401]0"/>
    <numFmt numFmtId="165" formatCode="[$-960429]dd/mm/yyyy;@"/>
    <numFmt numFmtId="166" formatCode="[$-3000401]0.#"/>
  </numFmts>
  <fonts count="42" x14ac:knownFonts="1">
    <font>
      <sz val="10"/>
      <name val="Arial"/>
      <charset val="178"/>
    </font>
    <font>
      <sz val="10"/>
      <name val="Arial"/>
      <charset val="178"/>
    </font>
    <font>
      <u/>
      <sz val="10"/>
      <color indexed="12"/>
      <name val="B Traffic"/>
      <charset val="178"/>
    </font>
    <font>
      <sz val="12"/>
      <name val="Times New Roman"/>
      <family val="1"/>
    </font>
    <font>
      <sz val="10"/>
      <name val="Arial"/>
      <family val="2"/>
    </font>
    <font>
      <sz val="12"/>
      <color indexed="10"/>
      <name val="B Zar"/>
      <charset val="178"/>
    </font>
    <font>
      <sz val="10"/>
      <color indexed="10"/>
      <name val="Arial"/>
      <family val="2"/>
    </font>
    <font>
      <sz val="10"/>
      <color indexed="9"/>
      <name val="Arial"/>
      <family val="2"/>
    </font>
    <font>
      <sz val="12"/>
      <color indexed="10"/>
      <name val="Times New Roman"/>
      <family val="1"/>
    </font>
    <font>
      <b/>
      <sz val="12"/>
      <color indexed="10"/>
      <name val="B Mitra"/>
      <charset val="178"/>
    </font>
    <font>
      <sz val="12"/>
      <color indexed="10"/>
      <name val="B Mitra"/>
      <charset val="178"/>
    </font>
    <font>
      <sz val="11"/>
      <color indexed="10"/>
      <name val="Calibri"/>
      <family val="2"/>
    </font>
    <font>
      <sz val="12"/>
      <name val="B Mitra"/>
      <charset val="178"/>
    </font>
    <font>
      <sz val="20"/>
      <name val="Arial"/>
      <family val="2"/>
    </font>
    <font>
      <u/>
      <sz val="22"/>
      <color indexed="12"/>
      <name val="B Traffic"/>
      <charset val="178"/>
    </font>
    <font>
      <sz val="22"/>
      <color indexed="10"/>
      <name val="Arial"/>
      <family val="2"/>
    </font>
    <font>
      <sz val="14"/>
      <color rgb="FF0070C0"/>
      <name val="B Mitra"/>
      <charset val="178"/>
    </font>
    <font>
      <sz val="26"/>
      <name val="Vazirmatn"/>
    </font>
    <font>
      <sz val="18"/>
      <color theme="0"/>
      <name val="Vazirmatn"/>
    </font>
    <font>
      <sz val="10"/>
      <name val="Vazirmatn"/>
    </font>
    <font>
      <sz val="12"/>
      <name val="Vazirmatn"/>
    </font>
    <font>
      <sz val="16"/>
      <name val="Vazirmatn"/>
    </font>
    <font>
      <b/>
      <sz val="11"/>
      <name val="Vazirmatn"/>
    </font>
    <font>
      <sz val="16"/>
      <color theme="0"/>
      <name val="Vazirmatn"/>
    </font>
    <font>
      <sz val="12"/>
      <color theme="1"/>
      <name val="Vazirmatn"/>
    </font>
    <font>
      <b/>
      <sz val="12"/>
      <color theme="1"/>
      <name val="Vazirmatn"/>
    </font>
    <font>
      <b/>
      <sz val="24"/>
      <color theme="0"/>
      <name val="Vazirmatn"/>
    </font>
    <font>
      <b/>
      <sz val="12"/>
      <color indexed="10"/>
      <name val="Vazirmatn"/>
    </font>
    <font>
      <b/>
      <sz val="20"/>
      <name val="Vazirmatn"/>
    </font>
    <font>
      <sz val="20"/>
      <name val="Vazirmatn"/>
    </font>
    <font>
      <b/>
      <sz val="12"/>
      <color indexed="8"/>
      <name val="Vazirmatn"/>
    </font>
    <font>
      <sz val="12"/>
      <color indexed="8"/>
      <name val="Vazirmatn"/>
    </font>
    <font>
      <b/>
      <sz val="12"/>
      <name val="Vazirmatn"/>
    </font>
    <font>
      <sz val="10"/>
      <color indexed="10"/>
      <name val="Vazirmatn"/>
    </font>
    <font>
      <sz val="10"/>
      <color indexed="9"/>
      <name val="Vazirmatn"/>
    </font>
    <font>
      <sz val="12"/>
      <color indexed="9"/>
      <name val="Vazirmatn"/>
    </font>
    <font>
      <sz val="11"/>
      <color indexed="10"/>
      <name val="Vazirmatn"/>
    </font>
    <font>
      <sz val="12"/>
      <color indexed="10"/>
      <name val="Vazirmatn"/>
    </font>
    <font>
      <sz val="12"/>
      <color theme="0"/>
      <name val="Vazirmatn"/>
    </font>
    <font>
      <b/>
      <sz val="20"/>
      <color theme="6" tint="-0.499984740745262"/>
      <name val="Vazirmatn"/>
    </font>
    <font>
      <b/>
      <sz val="12"/>
      <color rgb="FF000000"/>
      <name val="Vazirmatn"/>
    </font>
    <font>
      <sz val="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gradientFill>
        <stop position="0">
          <color rgb="FF0070C0"/>
        </stop>
        <stop position="1">
          <color rgb="FFFF0000"/>
        </stop>
      </gradient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medium">
        <color indexed="64"/>
      </top>
      <bottom/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/>
      <diagonal/>
    </border>
    <border>
      <left style="medium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113">
    <xf numFmtId="0" fontId="0" fillId="0" borderId="0" xfId="0"/>
    <xf numFmtId="0" fontId="5" fillId="2" borderId="0" xfId="0" applyFont="1" applyFill="1" applyAlignment="1">
      <alignment horizontal="center" vertical="center"/>
    </xf>
    <xf numFmtId="0" fontId="0" fillId="2" borderId="0" xfId="0" applyFill="1"/>
    <xf numFmtId="0" fontId="4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13" fillId="2" borderId="0" xfId="0" applyFont="1" applyFill="1" applyAlignment="1">
      <alignment horizontal="left" vertical="center"/>
    </xf>
    <xf numFmtId="0" fontId="20" fillId="0" borderId="1" xfId="0" applyFont="1" applyBorder="1" applyAlignment="1">
      <alignment horizontal="right" vertical="center" wrapText="1" readingOrder="2"/>
    </xf>
    <xf numFmtId="0" fontId="20" fillId="2" borderId="1" xfId="0" applyFont="1" applyFill="1" applyBorder="1" applyAlignment="1">
      <alignment horizontal="right" vertical="center" wrapText="1" readingOrder="2"/>
    </xf>
    <xf numFmtId="0" fontId="20" fillId="0" borderId="0" xfId="0" applyFont="1"/>
    <xf numFmtId="0" fontId="20" fillId="0" borderId="0" xfId="0" applyFont="1" applyAlignment="1">
      <alignment horizontal="right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right" vertical="center"/>
    </xf>
    <xf numFmtId="0" fontId="30" fillId="0" borderId="1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0" xfId="0" applyFont="1"/>
    <xf numFmtId="0" fontId="34" fillId="0" borderId="0" xfId="0" applyFont="1"/>
    <xf numFmtId="0" fontId="19" fillId="0" borderId="0" xfId="0" applyFont="1"/>
    <xf numFmtId="0" fontId="35" fillId="0" borderId="0" xfId="0" applyFont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right" vertical="top" wrapText="1" readingOrder="2"/>
    </xf>
    <xf numFmtId="0" fontId="37" fillId="0" borderId="0" xfId="0" applyFont="1" applyAlignment="1">
      <alignment horizontal="right" vertical="top" wrapText="1" readingOrder="2"/>
    </xf>
    <xf numFmtId="0" fontId="20" fillId="7" borderId="0" xfId="0" applyFont="1" applyFill="1" applyAlignment="1">
      <alignment vertical="center"/>
    </xf>
    <xf numFmtId="0" fontId="20" fillId="7" borderId="0" xfId="0" applyFont="1" applyFill="1" applyAlignment="1">
      <alignment vertical="center" wrapText="1"/>
    </xf>
    <xf numFmtId="0" fontId="20" fillId="7" borderId="0" xfId="0" applyFont="1" applyFill="1" applyAlignment="1">
      <alignment horizontal="right" vertical="center" wrapText="1" readingOrder="2"/>
    </xf>
    <xf numFmtId="0" fontId="19" fillId="7" borderId="0" xfId="0" applyFont="1" applyFill="1" applyAlignment="1">
      <alignment vertical="center"/>
    </xf>
    <xf numFmtId="0" fontId="19" fillId="0" borderId="1" xfId="0" applyFont="1" applyBorder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0" fontId="21" fillId="7" borderId="0" xfId="0" applyFont="1" applyFill="1" applyAlignment="1">
      <alignment horizontal="center" vertical="center" wrapText="1" readingOrder="2"/>
    </xf>
    <xf numFmtId="0" fontId="23" fillId="6" borderId="0" xfId="0" applyFont="1" applyFill="1" applyAlignment="1">
      <alignment horizontal="center" vertical="center" wrapText="1" readingOrder="2"/>
    </xf>
    <xf numFmtId="0" fontId="5" fillId="7" borderId="0" xfId="0" applyFont="1" applyFill="1" applyAlignment="1">
      <alignment horizontal="center" vertical="center"/>
    </xf>
    <xf numFmtId="0" fontId="28" fillId="2" borderId="2" xfId="0" applyFont="1" applyFill="1" applyBorder="1" applyAlignment="1">
      <alignment horizontal="left" vertical="center"/>
    </xf>
    <xf numFmtId="0" fontId="28" fillId="2" borderId="3" xfId="0" applyFont="1" applyFill="1" applyBorder="1" applyAlignment="1">
      <alignment horizontal="left" vertical="center"/>
    </xf>
    <xf numFmtId="0" fontId="29" fillId="2" borderId="4" xfId="0" applyFont="1" applyFill="1" applyBorder="1" applyAlignment="1">
      <alignment horizontal="left" vertical="center"/>
    </xf>
    <xf numFmtId="0" fontId="30" fillId="0" borderId="10" xfId="0" applyFont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0" fontId="32" fillId="10" borderId="18" xfId="0" applyFont="1" applyFill="1" applyBorder="1" applyAlignment="1">
      <alignment horizontal="center" vertical="center"/>
    </xf>
    <xf numFmtId="0" fontId="0" fillId="7" borderId="0" xfId="0" applyFill="1"/>
    <xf numFmtId="0" fontId="6" fillId="7" borderId="0" xfId="0" applyFont="1" applyFill="1"/>
    <xf numFmtId="0" fontId="7" fillId="7" borderId="0" xfId="0" applyFont="1" applyFill="1"/>
    <xf numFmtId="0" fontId="13" fillId="7" borderId="0" xfId="0" applyFont="1" applyFill="1" applyAlignment="1">
      <alignment horizontal="left" vertical="center"/>
    </xf>
    <xf numFmtId="0" fontId="28" fillId="7" borderId="0" xfId="0" applyFont="1" applyFill="1" applyAlignment="1">
      <alignment horizontal="left" vertical="center"/>
    </xf>
    <xf numFmtId="0" fontId="3" fillId="7" borderId="0" xfId="0" applyFont="1" applyFill="1" applyAlignment="1">
      <alignment horizontal="right" readingOrder="2"/>
    </xf>
    <xf numFmtId="0" fontId="12" fillId="7" borderId="0" xfId="0" applyFont="1" applyFill="1" applyAlignment="1">
      <alignment horizontal="right" readingOrder="2"/>
    </xf>
    <xf numFmtId="0" fontId="10" fillId="7" borderId="0" xfId="0" applyFont="1" applyFill="1" applyAlignment="1">
      <alignment horizontal="right" readingOrder="2"/>
    </xf>
    <xf numFmtId="0" fontId="9" fillId="7" borderId="0" xfId="0" applyFont="1" applyFill="1" applyAlignment="1">
      <alignment horizontal="right" readingOrder="2"/>
    </xf>
    <xf numFmtId="0" fontId="11" fillId="7" borderId="0" xfId="0" applyFont="1" applyFill="1" applyAlignment="1">
      <alignment horizontal="right" vertical="top" wrapText="1" readingOrder="2"/>
    </xf>
    <xf numFmtId="0" fontId="8" fillId="7" borderId="0" xfId="0" applyFont="1" applyFill="1" applyAlignment="1">
      <alignment horizontal="right" readingOrder="2"/>
    </xf>
    <xf numFmtId="3" fontId="25" fillId="9" borderId="24" xfId="2" applyNumberFormat="1" applyFont="1" applyFill="1" applyBorder="1" applyAlignment="1">
      <alignment horizontal="center" vertical="center"/>
    </xf>
    <xf numFmtId="3" fontId="25" fillId="9" borderId="21" xfId="2" applyNumberFormat="1" applyFont="1" applyFill="1" applyBorder="1" applyAlignment="1">
      <alignment horizontal="center" vertical="center"/>
    </xf>
    <xf numFmtId="3" fontId="25" fillId="9" borderId="25" xfId="2" applyNumberFormat="1" applyFont="1" applyFill="1" applyBorder="1" applyAlignment="1">
      <alignment horizontal="center" vertical="center"/>
    </xf>
    <xf numFmtId="3" fontId="24" fillId="9" borderId="26" xfId="0" applyNumberFormat="1" applyFont="1" applyFill="1" applyBorder="1" applyAlignment="1">
      <alignment horizontal="center" vertical="center"/>
    </xf>
    <xf numFmtId="3" fontId="24" fillId="9" borderId="20" xfId="0" applyNumberFormat="1" applyFont="1" applyFill="1" applyBorder="1" applyAlignment="1">
      <alignment horizontal="center" vertical="center"/>
    </xf>
    <xf numFmtId="3" fontId="24" fillId="9" borderId="16" xfId="0" applyNumberFormat="1" applyFont="1" applyFill="1" applyBorder="1" applyAlignment="1">
      <alignment horizontal="center" vertical="center"/>
    </xf>
    <xf numFmtId="0" fontId="38" fillId="8" borderId="5" xfId="0" applyFont="1" applyFill="1" applyBorder="1" applyAlignment="1">
      <alignment horizontal="center" vertical="center"/>
    </xf>
    <xf numFmtId="0" fontId="38" fillId="8" borderId="22" xfId="0" applyFont="1" applyFill="1" applyBorder="1" applyAlignment="1">
      <alignment horizontal="center" vertical="center"/>
    </xf>
    <xf numFmtId="0" fontId="38" fillId="8" borderId="23" xfId="0" applyFont="1" applyFill="1" applyBorder="1" applyAlignment="1">
      <alignment horizontal="center" vertical="center"/>
    </xf>
    <xf numFmtId="0" fontId="32" fillId="10" borderId="17" xfId="0" applyFont="1" applyFill="1" applyBorder="1" applyAlignment="1">
      <alignment horizontal="center" vertical="center"/>
    </xf>
    <xf numFmtId="0" fontId="32" fillId="10" borderId="19" xfId="0" applyFont="1" applyFill="1" applyBorder="1" applyAlignment="1">
      <alignment horizontal="center" vertical="center"/>
    </xf>
    <xf numFmtId="0" fontId="39" fillId="2" borderId="3" xfId="0" applyFont="1" applyFill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26" fillId="4" borderId="0" xfId="0" applyFont="1" applyFill="1" applyAlignment="1">
      <alignment horizontal="center" vertical="center"/>
    </xf>
    <xf numFmtId="164" fontId="19" fillId="0" borderId="1" xfId="0" applyNumberFormat="1" applyFont="1" applyBorder="1" applyAlignment="1">
      <alignment horizontal="center" vertical="center"/>
    </xf>
    <xf numFmtId="0" fontId="32" fillId="11" borderId="14" xfId="0" applyFont="1" applyFill="1" applyBorder="1" applyAlignment="1">
      <alignment horizontal="center" vertical="center"/>
    </xf>
    <xf numFmtId="0" fontId="32" fillId="11" borderId="15" xfId="0" applyFont="1" applyFill="1" applyBorder="1" applyAlignment="1">
      <alignment horizontal="center" vertical="center"/>
    </xf>
    <xf numFmtId="0" fontId="32" fillId="11" borderId="16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33" fillId="7" borderId="0" xfId="0" applyFont="1" applyFill="1" applyAlignment="1">
      <alignment vertical="center"/>
    </xf>
    <xf numFmtId="0" fontId="33" fillId="0" borderId="0" xfId="0" applyFont="1" applyAlignment="1">
      <alignment vertical="center"/>
    </xf>
    <xf numFmtId="0" fontId="37" fillId="7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33" fillId="7" borderId="0" xfId="0" applyFont="1" applyFill="1" applyAlignment="1">
      <alignment horizontal="center" vertical="center"/>
    </xf>
    <xf numFmtId="0" fontId="20" fillId="12" borderId="27" xfId="0" applyFont="1" applyFill="1" applyBorder="1" applyAlignment="1">
      <alignment vertical="center"/>
    </xf>
    <xf numFmtId="0" fontId="20" fillId="12" borderId="28" xfId="0" applyFont="1" applyFill="1" applyBorder="1" applyAlignment="1">
      <alignment horizontal="center" vertical="center"/>
    </xf>
    <xf numFmtId="0" fontId="20" fillId="12" borderId="29" xfId="0" applyFont="1" applyFill="1" applyBorder="1" applyAlignment="1">
      <alignment vertical="center"/>
    </xf>
    <xf numFmtId="0" fontId="20" fillId="12" borderId="30" xfId="0" applyFont="1" applyFill="1" applyBorder="1" applyAlignment="1">
      <alignment horizontal="center" vertical="center"/>
    </xf>
    <xf numFmtId="0" fontId="20" fillId="12" borderId="31" xfId="0" applyFont="1" applyFill="1" applyBorder="1" applyAlignment="1">
      <alignment vertical="center"/>
    </xf>
    <xf numFmtId="0" fontId="20" fillId="12" borderId="32" xfId="0" applyFont="1" applyFill="1" applyBorder="1" applyAlignment="1">
      <alignment horizontal="center" vertical="center"/>
    </xf>
    <xf numFmtId="1" fontId="17" fillId="7" borderId="0" xfId="0" applyNumberFormat="1" applyFont="1" applyFill="1" applyAlignment="1">
      <alignment horizontal="center" vertical="center"/>
    </xf>
    <xf numFmtId="1" fontId="20" fillId="7" borderId="0" xfId="0" applyNumberFormat="1" applyFont="1" applyFill="1" applyAlignment="1">
      <alignment vertical="center"/>
    </xf>
    <xf numFmtId="1" fontId="20" fillId="7" borderId="0" xfId="0" applyNumberFormat="1" applyFont="1" applyFill="1" applyAlignment="1">
      <alignment horizontal="center" vertical="center" wrapText="1" readingOrder="2"/>
    </xf>
    <xf numFmtId="1" fontId="22" fillId="7" borderId="0" xfId="0" applyNumberFormat="1" applyFont="1" applyFill="1" applyAlignment="1">
      <alignment horizontal="center" vertical="center" wrapText="1" readingOrder="2"/>
    </xf>
    <xf numFmtId="1" fontId="19" fillId="7" borderId="0" xfId="0" applyNumberFormat="1" applyFont="1" applyFill="1" applyAlignment="1">
      <alignment vertical="center"/>
    </xf>
    <xf numFmtId="1" fontId="19" fillId="0" borderId="0" xfId="0" applyNumberFormat="1" applyFont="1" applyAlignment="1">
      <alignment vertical="center"/>
    </xf>
    <xf numFmtId="165" fontId="20" fillId="12" borderId="30" xfId="0" applyNumberFormat="1" applyFont="1" applyFill="1" applyBorder="1" applyAlignment="1">
      <alignment horizontal="center" vertical="center"/>
    </xf>
    <xf numFmtId="165" fontId="20" fillId="7" borderId="0" xfId="0" applyNumberFormat="1" applyFont="1" applyFill="1" applyAlignment="1">
      <alignment horizontal="right" vertical="center"/>
    </xf>
    <xf numFmtId="0" fontId="20" fillId="7" borderId="0" xfId="0" applyFont="1" applyFill="1" applyAlignment="1">
      <alignment horizontal="right" vertical="center"/>
    </xf>
    <xf numFmtId="166" fontId="20" fillId="7" borderId="0" xfId="0" applyNumberFormat="1" applyFont="1" applyFill="1" applyAlignment="1">
      <alignment horizontal="right" vertical="center"/>
    </xf>
    <xf numFmtId="22" fontId="0" fillId="0" borderId="0" xfId="0" applyNumberFormat="1"/>
    <xf numFmtId="0" fontId="17" fillId="7" borderId="0" xfId="0" applyFont="1" applyFill="1" applyAlignment="1">
      <alignment horizontal="center" vertical="center"/>
    </xf>
    <xf numFmtId="1" fontId="22" fillId="3" borderId="1" xfId="0" applyNumberFormat="1" applyFont="1" applyFill="1" applyBorder="1" applyAlignment="1">
      <alignment horizontal="center" vertical="center" wrapText="1" readingOrder="2"/>
    </xf>
    <xf numFmtId="0" fontId="19" fillId="7" borderId="0" xfId="0" applyFont="1" applyFill="1" applyAlignment="1">
      <alignment horizontal="center" vertical="center"/>
    </xf>
    <xf numFmtId="0" fontId="18" fillId="5" borderId="0" xfId="0" applyFont="1" applyFill="1" applyAlignment="1">
      <alignment horizontal="center" vertical="center" wrapText="1" readingOrder="2"/>
    </xf>
    <xf numFmtId="1" fontId="20" fillId="3" borderId="6" xfId="0" applyNumberFormat="1" applyFont="1" applyFill="1" applyBorder="1" applyAlignment="1">
      <alignment horizontal="center" vertical="center" wrapText="1" readingOrder="2"/>
    </xf>
    <xf numFmtId="1" fontId="20" fillId="3" borderId="7" xfId="0" applyNumberFormat="1" applyFont="1" applyFill="1" applyBorder="1" applyAlignment="1">
      <alignment horizontal="center" vertical="center" wrapText="1" readingOrder="2"/>
    </xf>
    <xf numFmtId="0" fontId="16" fillId="7" borderId="0" xfId="0" applyFont="1" applyFill="1" applyAlignment="1">
      <alignment horizontal="center" readingOrder="2"/>
    </xf>
    <xf numFmtId="0" fontId="14" fillId="7" borderId="0" xfId="1" applyFont="1" applyFill="1" applyBorder="1" applyAlignment="1" applyProtection="1">
      <alignment horizontal="center"/>
    </xf>
    <xf numFmtId="0" fontId="15" fillId="7" borderId="0" xfId="0" applyFont="1" applyFill="1" applyAlignment="1">
      <alignment horizontal="center"/>
    </xf>
    <xf numFmtId="0" fontId="27" fillId="7" borderId="0" xfId="0" applyFont="1" applyFill="1" applyAlignment="1">
      <alignment horizontal="center" vertical="center" wrapText="1"/>
    </xf>
    <xf numFmtId="0" fontId="20" fillId="13" borderId="0" xfId="0" applyFont="1" applyFill="1" applyAlignment="1">
      <alignment horizontal="center" vertical="center"/>
    </xf>
  </cellXfs>
  <cellStyles count="3">
    <cellStyle name="Hyperlink" xfId="1" builtinId="8"/>
    <cellStyle name="Normal" xfId="0" builtinId="0"/>
    <cellStyle name="Percent" xfId="2" builtinId="5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azirmatn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azirmat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azirmat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azirmat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azirmat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azirmat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azirmatn"/>
        <scheme val="none"/>
      </font>
      <alignment horizontal="right" vertical="center" textRotation="0" wrapText="0" indent="0" justifyLastLine="0" shrinkToFit="0" readingOrder="0"/>
    </dxf>
    <dxf>
      <fill>
        <patternFill>
          <bgColor theme="5"/>
        </patternFill>
      </fill>
    </dxf>
    <dxf>
      <fill>
        <patternFill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azirmatn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azirmat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azirmat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azirmat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azirmat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azirmat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azirmatn"/>
        <scheme val="none"/>
      </font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azirmatn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azirmatn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azirmatn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azirmat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azirmat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azirmat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azirmat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azirmat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azirmatn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azirmat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azirmatn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azirmat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azirmat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azirmat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azirmat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azirmat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azirmatn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azirmatn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azirmatn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Vazirmatn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Vazirmat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Vazirmatn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Vazirmatn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Vazirmat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441477603897461"/>
          <c:y val="0.11722501731765071"/>
          <c:w val="0.70946101989420551"/>
          <c:h val="0.75358939704204009"/>
        </c:manualLayout>
      </c:layout>
      <c:radarChart>
        <c:radarStyle val="marker"/>
        <c:varyColors val="0"/>
        <c:ser>
          <c:idx val="0"/>
          <c:order val="0"/>
          <c:spPr>
            <a:ln w="25400">
              <a:solidFill>
                <a:srgbClr val="FF00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'سوالات آزمون'!#REF!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'سوالات آزمون'!#REF!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44F5-402F-9409-8773B7BE0FA6}"/>
            </c:ext>
          </c:extLst>
        </c:ser>
        <c:ser>
          <c:idx val="1"/>
          <c:order val="1"/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val>
            <c:numRef>
              <c:f>'سوالات آزمون'!#REF!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'سوالات آزمون'!#REF!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44F5-402F-9409-8773B7BE0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961984"/>
        <c:axId val="75613312"/>
      </c:radarChart>
      <c:catAx>
        <c:axId val="89961984"/>
        <c:scaling>
          <c:orientation val="maxMin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a-IR"/>
          </a:p>
        </c:txPr>
        <c:crossAx val="75613312"/>
        <c:crosses val="autoZero"/>
        <c:auto val="0"/>
        <c:lblAlgn val="ctr"/>
        <c:lblOffset val="100"/>
        <c:noMultiLvlLbl val="0"/>
      </c:catAx>
      <c:valAx>
        <c:axId val="75613312"/>
        <c:scaling>
          <c:orientation val="minMax"/>
          <c:max val="15"/>
          <c:min val="0"/>
        </c:scaling>
        <c:delete val="0"/>
        <c:axPos val="l"/>
        <c:majorGridlines>
          <c:spPr>
            <a:ln w="3175">
              <a:solidFill>
                <a:srgbClr val="00FFFF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a-IR"/>
          </a:p>
        </c:txPr>
        <c:crossAx val="89961984"/>
        <c:crosses val="autoZero"/>
        <c:crossBetween val="between"/>
        <c:majorUnit val="3"/>
      </c:valAx>
    </c:plotArea>
    <c:plotVisOnly val="1"/>
    <c:dispBlanksAs val="gap"/>
    <c:showDLblsOverMax val="0"/>
  </c:chart>
  <c:txPr>
    <a:bodyPr/>
    <a:lstStyle/>
    <a:p>
      <a:pPr>
        <a:defRPr sz="10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a-IR"/>
    </a:p>
  </c:txPr>
  <c:printSettings>
    <c:headerFooter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Concat!$E$5</c:f>
          <c:strCache>
            <c:ptCount val="1"/>
            <c:pt idx="0">
              <c:v>ENFP</c:v>
            </c:pt>
          </c:strCache>
        </c:strRef>
      </c:tx>
      <c:overlay val="0"/>
      <c:spPr>
        <a:noFill/>
        <a:ln w="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ln>
                <a:noFill/>
              </a:ln>
              <a:solidFill>
                <a:schemeClr val="accent3">
                  <a:lumMod val="50000"/>
                </a:schemeClr>
              </a:solidFill>
              <a:latin typeface="Vazirmatn" pitchFamily="2" charset="-78"/>
              <a:ea typeface="+mn-ea"/>
              <a:cs typeface="Vazirmatn" pitchFamily="2" charset="-78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410217173037877"/>
          <c:y val="0.25057720057720057"/>
          <c:w val="0.71481131740451265"/>
          <c:h val="0.70252525252525255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ln>
                      <a:noFill/>
                    </a:ln>
                    <a:solidFill>
                      <a:sysClr val="windowText" lastClr="000000"/>
                    </a:solidFill>
                    <a:latin typeface="Vazirmatn" pitchFamily="2" charset="-78"/>
                    <a:ea typeface="+mn-ea"/>
                    <a:cs typeface="Vazirmatn" pitchFamily="2" charset="-78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Process!$F$3:$I$3</c:f>
              <c:strCache>
                <c:ptCount val="4"/>
                <c:pt idx="0">
                  <c:v>I / E</c:v>
                </c:pt>
                <c:pt idx="1">
                  <c:v>S / N</c:v>
                </c:pt>
                <c:pt idx="2">
                  <c:v>T / F</c:v>
                </c:pt>
                <c:pt idx="3">
                  <c:v>J / P</c:v>
                </c:pt>
              </c:strCache>
            </c:strRef>
          </c:cat>
          <c:val>
            <c:numRef>
              <c:f>Process!$F$4:$I$4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3D-4FF2-B36A-F2FD1DBCB39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ln>
                      <a:noFill/>
                    </a:ln>
                    <a:solidFill>
                      <a:sysClr val="windowText" lastClr="000000"/>
                    </a:solidFill>
                    <a:latin typeface="Vazirmatn" pitchFamily="2" charset="-78"/>
                    <a:ea typeface="+mn-ea"/>
                    <a:cs typeface="Vazirmatn" pitchFamily="2" charset="-78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Process!$F$3:$I$3</c:f>
              <c:strCache>
                <c:ptCount val="4"/>
                <c:pt idx="0">
                  <c:v>I / E</c:v>
                </c:pt>
                <c:pt idx="1">
                  <c:v>S / N</c:v>
                </c:pt>
                <c:pt idx="2">
                  <c:v>T / F</c:v>
                </c:pt>
                <c:pt idx="3">
                  <c:v>J / P</c:v>
                </c:pt>
              </c:strCache>
            </c:strRef>
          </c:cat>
          <c:val>
            <c:numRef>
              <c:f>Process!$F$5:$I$5</c:f>
              <c:numCache>
                <c:formatCode>#,##0</c:formatCode>
                <c:ptCount val="4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2F3D-4FF2-B36A-F2FD1DBCB39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05195391"/>
        <c:axId val="1005196831"/>
        <c:extLst/>
      </c:barChart>
      <c:catAx>
        <c:axId val="1005195391"/>
        <c:scaling>
          <c:orientation val="maxMin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30" b="1" i="0" u="none" strike="noStrike" kern="1200" baseline="0">
                    <a:ln>
                      <a:noFill/>
                    </a:ln>
                    <a:solidFill>
                      <a:sysClr val="windowText" lastClr="000000"/>
                    </a:solidFill>
                    <a:latin typeface="Vazirmatn" pitchFamily="2" charset="-78"/>
                    <a:ea typeface="+mn-ea"/>
                    <a:cs typeface="Vazirmatn" pitchFamily="2" charset="-78"/>
                  </a:defRPr>
                </a:pPr>
                <a:r>
                  <a:rPr lang="fa-IR" sz="1030" b="1" i="0" u="none" strike="noStrike" kern="1200" baseline="0">
                    <a:ln>
                      <a:noFill/>
                    </a:ln>
                    <a:solidFill>
                      <a:sysClr val="windowText" lastClr="000000"/>
                    </a:solidFill>
                    <a:latin typeface="Vazirmatn" pitchFamily="2" charset="-78"/>
                    <a:cs typeface="Vazirmatn" pitchFamily="2" charset="-78"/>
                  </a:rPr>
                  <a:t>برونگرا / درونگرا</a:t>
                </a:r>
                <a:endParaRPr lang="en-US" sz="1030" b="1" i="0" u="none" strike="noStrike" kern="1200" baseline="0">
                  <a:ln>
                    <a:noFill/>
                  </a:ln>
                  <a:solidFill>
                    <a:sysClr val="windowText" lastClr="000000"/>
                  </a:solidFill>
                  <a:latin typeface="Vazirmatn" pitchFamily="2" charset="-78"/>
                  <a:cs typeface="Vazirmatn" pitchFamily="2" charset="-78"/>
                </a:endParaRP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30"/>
                </a:pPr>
                <a:endParaRPr lang="fa-IR" sz="1030" b="1" baseline="0"/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30"/>
                </a:pPr>
                <a:endParaRPr lang="fa-IR" sz="1030" b="1" baseline="0"/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30"/>
                </a:pPr>
                <a:r>
                  <a:rPr lang="fa-IR" sz="1030" b="1" i="0" u="none" strike="noStrike" kern="1200" baseline="0">
                    <a:ln>
                      <a:noFill/>
                    </a:ln>
                    <a:solidFill>
                      <a:sysClr val="windowText" lastClr="000000"/>
                    </a:solidFill>
                    <a:latin typeface="Vazirmatn" pitchFamily="2" charset="-78"/>
                    <a:cs typeface="Vazirmatn" pitchFamily="2" charset="-78"/>
                  </a:rPr>
                  <a:t>شهودی / حسی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30"/>
                </a:pPr>
                <a:endParaRPr lang="fa-IR" sz="1030" b="1" baseline="0"/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30"/>
                </a:pPr>
                <a:endParaRPr lang="fa-IR" sz="1030" b="1" baseline="0"/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30"/>
                </a:pPr>
                <a:r>
                  <a:rPr lang="fa-IR" sz="1030" b="1" i="0" u="none" strike="noStrike" kern="1200" baseline="0">
                    <a:ln>
                      <a:noFill/>
                    </a:ln>
                    <a:solidFill>
                      <a:sysClr val="windowText" lastClr="000000"/>
                    </a:solidFill>
                    <a:latin typeface="Vazirmatn" pitchFamily="2" charset="-78"/>
                    <a:cs typeface="Vazirmatn" pitchFamily="2" charset="-78"/>
                  </a:rPr>
                  <a:t>احساسی / فکری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30"/>
                </a:pPr>
                <a:endParaRPr lang="fa-IR" sz="1030" b="1" baseline="0"/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30"/>
                </a:pPr>
                <a:endParaRPr lang="fa-IR" sz="1030" b="1" baseline="0"/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30"/>
                </a:pPr>
                <a:r>
                  <a:rPr lang="fa-IR" sz="1030" b="1" i="0" u="none" strike="noStrike" kern="1200" baseline="0">
                    <a:ln>
                      <a:noFill/>
                    </a:ln>
                    <a:solidFill>
                      <a:sysClr val="windowText" lastClr="000000"/>
                    </a:solidFill>
                    <a:latin typeface="Vazirmatn" pitchFamily="2" charset="-78"/>
                    <a:cs typeface="Vazirmatn" pitchFamily="2" charset="-78"/>
                  </a:rPr>
                  <a:t>ادراکی / قضاوتی</a:t>
                </a:r>
              </a:p>
            </c:rich>
          </c:tx>
          <c:layout>
            <c:manualLayout>
              <c:xMode val="edge"/>
              <c:yMode val="edge"/>
              <c:x val="6.7043418465680724E-2"/>
              <c:y val="0.23870851370851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30" b="1" i="0" u="none" strike="noStrike" kern="1200" baseline="0">
                  <a:ln>
                    <a:noFill/>
                  </a:ln>
                  <a:solidFill>
                    <a:sysClr val="windowText" lastClr="000000"/>
                  </a:solidFill>
                  <a:latin typeface="Vazirmatn" pitchFamily="2" charset="-78"/>
                  <a:ea typeface="+mn-ea"/>
                  <a:cs typeface="Vazirmatn" pitchFamily="2" charset="-78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ln>
                  <a:noFill/>
                </a:ln>
                <a:solidFill>
                  <a:sysClr val="windowText" lastClr="000000"/>
                </a:solidFill>
                <a:latin typeface="Vazirmatn" pitchFamily="2" charset="-78"/>
                <a:ea typeface="+mn-ea"/>
                <a:cs typeface="Vazirmatn" pitchFamily="2" charset="-78"/>
              </a:defRPr>
            </a:pPr>
            <a:endParaRPr lang="en-US"/>
          </a:p>
        </c:txPr>
        <c:crossAx val="1005196831"/>
        <c:crosses val="autoZero"/>
        <c:auto val="1"/>
        <c:lblAlgn val="ctr"/>
        <c:lblOffset val="100"/>
        <c:noMultiLvlLbl val="0"/>
      </c:catAx>
      <c:valAx>
        <c:axId val="1005196831"/>
        <c:scaling>
          <c:orientation val="minMax"/>
          <c:max val="15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ln>
                  <a:noFill/>
                </a:ln>
                <a:solidFill>
                  <a:sysClr val="windowText" lastClr="000000"/>
                </a:solidFill>
                <a:latin typeface="Vazirmatn" pitchFamily="2" charset="-78"/>
                <a:ea typeface="+mn-ea"/>
                <a:cs typeface="Vazirmatn" pitchFamily="2" charset="-78"/>
              </a:defRPr>
            </a:pPr>
            <a:endParaRPr lang="en-US"/>
          </a:p>
        </c:txPr>
        <c:crossAx val="100519539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12700" cap="flat" cmpd="sng" algn="ctr">
      <a:solidFill>
        <a:sysClr val="windowText" lastClr="000000"/>
      </a:solidFill>
      <a:prstDash val="solid"/>
      <a:round/>
    </a:ln>
    <a:effectLst/>
  </c:spPr>
  <c:txPr>
    <a:bodyPr rot="0" vert="horz" anchor="t" anchorCtr="1"/>
    <a:lstStyle/>
    <a:p>
      <a:pPr>
        <a:defRPr sz="1100" b="1" i="0" baseline="0">
          <a:ln>
            <a:noFill/>
          </a:ln>
          <a:solidFill>
            <a:sysClr val="windowText" lastClr="000000"/>
          </a:solidFill>
          <a:latin typeface="Vazirmatn" pitchFamily="2" charset="-78"/>
          <a:ea typeface="+mn-ea"/>
          <a:cs typeface="Vazirmatn" pitchFamily="2" charset="-78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38100</xdr:rowOff>
    </xdr:from>
    <xdr:to>
      <xdr:col>2</xdr:col>
      <xdr:colOff>0</xdr:colOff>
      <xdr:row>31</xdr:row>
      <xdr:rowOff>129540</xdr:rowOff>
    </xdr:to>
    <xdr:graphicFrame macro="">
      <xdr:nvGraphicFramePr>
        <xdr:cNvPr id="370772" name="Chart 1">
          <a:extLst>
            <a:ext uri="{FF2B5EF4-FFF2-40B4-BE49-F238E27FC236}">
              <a16:creationId xmlns:a16="http://schemas.microsoft.com/office/drawing/2014/main" id="{00000000-0008-0000-0000-000054A80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167640</xdr:colOff>
          <xdr:row>187</xdr:row>
          <xdr:rowOff>7620</xdr:rowOff>
        </xdr:from>
        <xdr:to>
          <xdr:col>5</xdr:col>
          <xdr:colOff>495300</xdr:colOff>
          <xdr:row>188</xdr:row>
          <xdr:rowOff>7620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73152" rIns="36576" bIns="73152" anchor="ctr" upright="1"/>
            <a:lstStyle/>
            <a:p>
              <a:pPr algn="ctr" rtl="1">
                <a:defRPr sz="1000"/>
              </a:pPr>
              <a:r>
                <a:rPr lang="en-US" sz="1200" b="1" i="0" u="none" strike="noStrike" baseline="0">
                  <a:solidFill>
                    <a:srgbClr val="000000"/>
                  </a:solidFill>
                  <a:latin typeface="Vazirmatn"/>
                  <a:cs typeface="Vazirmatn"/>
                </a:rPr>
                <a:t>ثبت فرم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</xdr:colOff>
      <xdr:row>0</xdr:row>
      <xdr:rowOff>160020</xdr:rowOff>
    </xdr:from>
    <xdr:to>
      <xdr:col>8</xdr:col>
      <xdr:colOff>167640</xdr:colOff>
      <xdr:row>3</xdr:row>
      <xdr:rowOff>106680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E03FB3C-0F34-D2F8-DF30-8D795832D7BF}"/>
            </a:ext>
          </a:extLst>
        </xdr:cNvPr>
        <xdr:cNvSpPr txBox="1"/>
      </xdr:nvSpPr>
      <xdr:spPr>
        <a:xfrm>
          <a:off x="10232235060" y="160020"/>
          <a:ext cx="6781800" cy="746760"/>
        </a:xfrm>
        <a:prstGeom prst="rect">
          <a:avLst/>
        </a:prstGeom>
        <a:solidFill>
          <a:schemeClr val="bg1"/>
        </a:solidFill>
        <a:ln w="127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r>
            <a:rPr lang="ar-SA" sz="1400" b="0" cap="none" spc="0">
              <a:ln w="0"/>
              <a:solidFill>
                <a:schemeClr val="accent2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Vazirmatn" pitchFamily="2" charset="-78"/>
              <a:cs typeface="Vazirmatn" pitchFamily="2" charset="-78"/>
            </a:rPr>
            <a:t>توجه: تیپ شخصیتی </a:t>
          </a:r>
          <a:r>
            <a:rPr lang="en-US" sz="1400" b="0" cap="none" spc="0">
              <a:ln w="0"/>
              <a:solidFill>
                <a:schemeClr val="accent2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Vazirmatn" pitchFamily="2" charset="-78"/>
              <a:cs typeface="Vazirmatn" pitchFamily="2" charset="-78"/>
            </a:rPr>
            <a:t>ENFP</a:t>
          </a:r>
          <a:r>
            <a:rPr lang="fa-IR" sz="1400" b="0" cap="none" spc="0" baseline="0">
              <a:ln w="0"/>
              <a:solidFill>
                <a:schemeClr val="accent2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Vazirmatn" pitchFamily="2" charset="-78"/>
              <a:cs typeface="Vazirmatn" pitchFamily="2" charset="-78"/>
            </a:rPr>
            <a:t> </a:t>
          </a:r>
          <a:r>
            <a:rPr lang="ar-SA" sz="1400" b="0" cap="none" spc="0">
              <a:ln w="0"/>
              <a:solidFill>
                <a:schemeClr val="accent2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Vazirmatn" pitchFamily="2" charset="-78"/>
              <a:cs typeface="Vazirmatn" pitchFamily="2" charset="-78"/>
            </a:rPr>
            <a:t>پیش</a:t>
          </a:r>
          <a:r>
            <a:rPr lang="fa-IR" sz="1400" b="0" cap="none" spc="0">
              <a:ln w="0"/>
              <a:solidFill>
                <a:schemeClr val="accent2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Vazirmatn" pitchFamily="2" charset="-78"/>
              <a:cs typeface="Vazirmatn" pitchFamily="2" charset="-78"/>
            </a:rPr>
            <a:t>‌</a:t>
          </a:r>
          <a:r>
            <a:rPr lang="ar-SA" sz="1400" b="0" cap="none" spc="0">
              <a:ln w="0"/>
              <a:solidFill>
                <a:schemeClr val="accent2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Vazirmatn" pitchFamily="2" charset="-78"/>
              <a:cs typeface="Vazirmatn" pitchFamily="2" charset="-78"/>
            </a:rPr>
            <a:t>فر</a:t>
          </a:r>
          <a:r>
            <a:rPr lang="fa-IR" sz="1400" b="0" cap="none" spc="0">
              <a:ln w="0"/>
              <a:solidFill>
                <a:schemeClr val="accent2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Vazirmatn" pitchFamily="2" charset="-78"/>
              <a:cs typeface="Vazirmatn" pitchFamily="2" charset="-78"/>
            </a:rPr>
            <a:t>ض</a:t>
          </a:r>
          <a:r>
            <a:rPr lang="fa-IR" sz="1400" b="0" cap="none" spc="0" baseline="0">
              <a:ln w="0"/>
              <a:solidFill>
                <a:schemeClr val="accent2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Vazirmatn" pitchFamily="2" charset="-78"/>
              <a:cs typeface="Vazirmatn" pitchFamily="2" charset="-78"/>
            </a:rPr>
            <a:t> است</a:t>
          </a:r>
          <a:r>
            <a:rPr lang="ar-SA" sz="1400" b="0" cap="none" spc="0">
              <a:ln w="0"/>
              <a:solidFill>
                <a:schemeClr val="accent2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Vazirmatn" pitchFamily="2" charset="-78"/>
              <a:cs typeface="Vazirmatn" pitchFamily="2" charset="-78"/>
            </a:rPr>
            <a:t> و پس از پاسخگویی دقیق شما به سوالات،</a:t>
          </a:r>
          <a:r>
            <a:rPr lang="fa-IR" sz="1400" b="0" cap="none" spc="0">
              <a:ln w="0"/>
              <a:solidFill>
                <a:schemeClr val="accent2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Vazirmatn" pitchFamily="2" charset="-78"/>
              <a:cs typeface="Vazirmatn" pitchFamily="2" charset="-78"/>
            </a:rPr>
            <a:t> </a:t>
          </a:r>
          <a:r>
            <a:rPr lang="ar-SA" sz="1400" b="0" cap="none" spc="0">
              <a:ln w="0"/>
              <a:solidFill>
                <a:schemeClr val="accent2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Vazirmatn" pitchFamily="2" charset="-78"/>
              <a:cs typeface="Vazirmatn" pitchFamily="2" charset="-78"/>
            </a:rPr>
            <a:t>تیپ شخصیتی</a:t>
          </a:r>
          <a:r>
            <a:rPr lang="fa-IR" sz="1400" b="0" cap="none" spc="0">
              <a:ln w="0"/>
              <a:solidFill>
                <a:schemeClr val="accent2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Vazirmatn" pitchFamily="2" charset="-78"/>
              <a:cs typeface="Vazirmatn" pitchFamily="2" charset="-78"/>
            </a:rPr>
            <a:t>‌</a:t>
          </a:r>
          <a:r>
            <a:rPr lang="ar-SA" sz="1400" b="0" cap="none" spc="0">
              <a:ln w="0"/>
              <a:solidFill>
                <a:schemeClr val="accent2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Vazirmatn" pitchFamily="2" charset="-78"/>
              <a:cs typeface="Vazirmatn" pitchFamily="2" charset="-78"/>
            </a:rPr>
            <a:t>تان تعیین و در این</a:t>
          </a:r>
          <a:r>
            <a:rPr lang="fa-IR" sz="1400" b="0" cap="none" spc="0">
              <a:ln w="0"/>
              <a:solidFill>
                <a:schemeClr val="accent2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Vazirmatn" pitchFamily="2" charset="-78"/>
              <a:cs typeface="Vazirmatn" pitchFamily="2" charset="-78"/>
            </a:rPr>
            <a:t>‌</a:t>
          </a:r>
          <a:r>
            <a:rPr lang="ar-SA" sz="1400" b="0" cap="none" spc="0">
              <a:ln w="0"/>
              <a:solidFill>
                <a:schemeClr val="accent2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Vazirmatn" pitchFamily="2" charset="-78"/>
              <a:cs typeface="Vazirmatn" pitchFamily="2" charset="-78"/>
            </a:rPr>
            <a:t>جا نمایش داده می</a:t>
          </a:r>
          <a:r>
            <a:rPr lang="fa-IR" sz="1400" b="0" cap="none" spc="0">
              <a:ln w="0"/>
              <a:solidFill>
                <a:schemeClr val="accent2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Vazirmatn" pitchFamily="2" charset="-78"/>
              <a:cs typeface="Vazirmatn" pitchFamily="2" charset="-78"/>
            </a:rPr>
            <a:t>‌</a:t>
          </a:r>
          <a:r>
            <a:rPr lang="ar-SA" sz="1400" b="0" cap="none" spc="0">
              <a:ln w="0"/>
              <a:solidFill>
                <a:schemeClr val="accent2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Vazirmatn" pitchFamily="2" charset="-78"/>
              <a:cs typeface="Vazirmatn" pitchFamily="2" charset="-78"/>
            </a:rPr>
            <a:t>شود.</a:t>
          </a:r>
          <a:endParaRPr lang="en-US" sz="1400" b="0" cap="none" spc="0">
            <a:ln w="0"/>
            <a:solidFill>
              <a:schemeClr val="accent2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Vazirmatn" pitchFamily="2" charset="-78"/>
            <a:cs typeface="Vazirmatn" pitchFamily="2" charset="-78"/>
          </a:endParaRPr>
        </a:p>
      </xdr:txBody>
    </xdr:sp>
    <xdr:clientData/>
  </xdr:twoCellAnchor>
  <xdr:twoCellAnchor>
    <xdr:from>
      <xdr:col>2</xdr:col>
      <xdr:colOff>304800</xdr:colOff>
      <xdr:row>5</xdr:row>
      <xdr:rowOff>121920</xdr:rowOff>
    </xdr:from>
    <xdr:to>
      <xdr:col>7</xdr:col>
      <xdr:colOff>266700</xdr:colOff>
      <xdr:row>20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2AE5153-2E9E-403B-98FA-36F568F2A0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63A6CE-83C1-4D09-AC9A-A51918737F0D}" name="DataTable1" displayName="DataTable1" ref="B2:D62" totalsRowShown="0" headerRowDxfId="44" headerRowBorderDxfId="43" tableBorderDxfId="42" totalsRowBorderDxfId="41">
  <autoFilter ref="B2:D62" xr:uid="{2C63A6CE-83C1-4D09-AC9A-A51918737F0D}"/>
  <tableColumns count="3">
    <tableColumn id="1" xr3:uid="{8C1FEDB6-CEDA-4DF1-9694-0876C6CCFD59}" name="Q-Num" dataDxfId="40"/>
    <tableColumn id="2" xr3:uid="{456B5382-5F15-4B87-92BB-996B9C707E00}" name="الف" dataDxfId="39"/>
    <tableColumn id="3" xr3:uid="{250940E9-0ECE-4415-9868-FCB89309C3D8}" name="ب" dataDxfId="38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EC4913E-4A87-4139-A783-547A1A684767}" name="Table1" displayName="Table1" ref="A1:G31" totalsRowCount="1" headerRowDxfId="18" dataDxfId="17" totalsRowDxfId="16">
  <autoFilter ref="A1:G30" xr:uid="{BEC4913E-4A87-4139-A783-547A1A684767}"/>
  <tableColumns count="7">
    <tableColumn id="1" xr3:uid="{DC1F58AC-3F11-4C0D-A248-DB6FEA715FAE}" name="Name" totalsRowFunction="count" dataDxfId="15" totalsRowDxfId="6"/>
    <tableColumn id="2" xr3:uid="{2F656FD8-1AF3-40C6-9563-B5CF305E1A25}" name="Grade" dataDxfId="14" totalsRowDxfId="5"/>
    <tableColumn id="3" xr3:uid="{388DD958-C540-4D54-BA44-B4DDDEC2C7CA}" name="I-E" totalsRowFunction="average" dataDxfId="13" totalsRowDxfId="4"/>
    <tableColumn id="4" xr3:uid="{4BE54995-A464-4B74-AD28-84448D028B34}" name="S-N" totalsRowFunction="average" dataDxfId="12" totalsRowDxfId="3"/>
    <tableColumn id="5" xr3:uid="{29834386-5DD9-4354-835D-0E81DA8DE569}" name="T-F" totalsRowFunction="average" dataDxfId="11" totalsRowDxfId="2"/>
    <tableColumn id="6" xr3:uid="{01464A4D-1FF4-4261-A275-6A0E2B504BA1}" name="J-P" totalsRowFunction="average" dataDxfId="10" totalsRowDxfId="1"/>
    <tableColumn id="7" xr3:uid="{8D8290AD-BD2F-42A6-80B3-7FD994432756}" name="Type" dataDxfId="9" totalsRowDxfId="0">
      <calculatedColumnFormula>IF(Table1[[#This Row],[I-E]]&gt;7.5,"I","E") &amp; IF(Table1[[#This Row],[S-N]]&gt;7.5,"S","N") &amp; IF(Table1[[#This Row],[T-F]]&gt;7.5,"T","F") &amp; IF(Table1[[#This Row],[J-P]]&gt;7.5,"J","P")</calculatedColumnFormula>
    </tableColumn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F0ECA9-D0F8-4925-B01A-F3BC06053AF9}" name="ResultTable" displayName="ResultTable" ref="A1:H30" totalsRowCount="1" headerRowDxfId="37" dataDxfId="36" totalsRowDxfId="35">
  <autoFilter ref="A1:H29" xr:uid="{D3F0ECA9-D0F8-4925-B01A-F3BC06053AF9}"/>
  <tableColumns count="8">
    <tableColumn id="8" xr3:uid="{B84CC835-FDC8-42BE-816D-F9E081D91DE6}" name="#" dataDxfId="34" totalsRowDxfId="26"/>
    <tableColumn id="1" xr3:uid="{131EAA41-5C0F-41AA-9F2F-89CE9C9DAA40}" name="Name" totalsRowFunction="count" dataDxfId="33" totalsRowDxfId="25"/>
    <tableColumn id="2" xr3:uid="{253150F0-1CAF-44FC-9681-5B2F67D1FEFE}" name="Grade" dataDxfId="32" totalsRowDxfId="24"/>
    <tableColumn id="3" xr3:uid="{3D1B5044-7EE2-43C8-82E1-2845936B2935}" name="I-E" totalsRowFunction="average" dataDxfId="31" totalsRowDxfId="23"/>
    <tableColumn id="4" xr3:uid="{E9F544B0-26CF-4370-8812-A35015A12287}" name="S-N" totalsRowFunction="average" dataDxfId="30" totalsRowDxfId="22"/>
    <tableColumn id="5" xr3:uid="{894E895D-2DCA-4994-A2D8-C144A2F593EC}" name="T-F" totalsRowFunction="average" dataDxfId="29" totalsRowDxfId="21"/>
    <tableColumn id="6" xr3:uid="{C3E23E6A-B545-48C8-96AE-B45F9A41006F}" name="J-P" totalsRowFunction="average" dataDxfId="28" totalsRowDxfId="20"/>
    <tableColumn id="7" xr3:uid="{4E449D50-8099-4684-AE0C-24F475175251}" name="Type" dataDxfId="27" totalsRowDxfId="19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B222"/>
  <sheetViews>
    <sheetView showGridLines="0" rightToLeft="1" tabSelected="1" topLeftCell="A176" zoomScaleNormal="100" workbookViewId="0">
      <selection activeCell="F17" sqref="F17"/>
    </sheetView>
  </sheetViews>
  <sheetFormatPr defaultColWidth="9.109375" defaultRowHeight="18.600000000000001" x14ac:dyDescent="0.25"/>
  <cols>
    <col min="1" max="1" width="17.33203125" style="76" customWidth="1"/>
    <col min="2" max="2" width="23.44140625" style="82" customWidth="1"/>
    <col min="3" max="3" width="5.109375" style="96" customWidth="1"/>
    <col min="4" max="4" width="111.88671875" style="76" customWidth="1"/>
    <col min="5" max="5" width="2.5546875" style="76" customWidth="1"/>
    <col min="6" max="6" width="7.33203125" style="82" customWidth="1"/>
    <col min="7" max="7" width="9.109375" style="76" customWidth="1"/>
    <col min="8" max="16384" width="9.109375" style="76"/>
  </cols>
  <sheetData>
    <row r="1" spans="1:18" ht="60.75" customHeight="1" thickBot="1" x14ac:dyDescent="0.3">
      <c r="A1" s="28"/>
      <c r="B1" s="30"/>
      <c r="C1" s="102" t="s">
        <v>11</v>
      </c>
      <c r="D1" s="102"/>
      <c r="E1" s="102"/>
      <c r="F1" s="102"/>
      <c r="G1" s="30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30" customHeight="1" thickTop="1" x14ac:dyDescent="0.25">
      <c r="A2" s="85" t="s">
        <v>177</v>
      </c>
      <c r="B2" s="86"/>
      <c r="C2" s="91"/>
      <c r="D2" s="99" t="s">
        <v>181</v>
      </c>
      <c r="E2" s="70"/>
      <c r="F2" s="70"/>
      <c r="G2" s="30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0" customHeight="1" x14ac:dyDescent="0.25">
      <c r="A3" s="87" t="s">
        <v>178</v>
      </c>
      <c r="B3" s="97"/>
      <c r="C3" s="91"/>
      <c r="D3" s="98">
        <f ca="1">NOW()</f>
        <v>46103.046548495367</v>
      </c>
      <c r="E3" s="70"/>
      <c r="F3" s="70"/>
      <c r="G3" s="30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30" customHeight="1" x14ac:dyDescent="0.25">
      <c r="A4" s="87" t="s">
        <v>179</v>
      </c>
      <c r="B4" s="88"/>
      <c r="C4" s="91"/>
      <c r="D4" s="100">
        <v>10.199999999999999</v>
      </c>
      <c r="E4" s="70"/>
      <c r="F4" s="70"/>
      <c r="G4" s="30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30" customHeight="1" thickBot="1" x14ac:dyDescent="0.3">
      <c r="A5" s="89" t="s">
        <v>180</v>
      </c>
      <c r="B5" s="90"/>
      <c r="C5" s="91"/>
      <c r="D5" s="100" t="s">
        <v>182</v>
      </c>
      <c r="E5" s="70"/>
      <c r="F5" s="70"/>
      <c r="G5" s="30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77.400000000000006" customHeight="1" thickTop="1" x14ac:dyDescent="0.25">
      <c r="A6" s="28"/>
      <c r="B6" s="28"/>
      <c r="C6" s="105" t="s">
        <v>172</v>
      </c>
      <c r="D6" s="105"/>
      <c r="E6" s="104"/>
      <c r="F6" s="32" t="s">
        <v>10</v>
      </c>
      <c r="G6" s="30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</row>
    <row r="7" spans="1:18" s="77" customFormat="1" ht="18" customHeight="1" x14ac:dyDescent="0.25">
      <c r="A7" s="25"/>
      <c r="B7" s="83"/>
      <c r="C7" s="92"/>
      <c r="D7" s="26"/>
      <c r="E7" s="104"/>
      <c r="F7" s="31"/>
      <c r="G7" s="30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</row>
    <row r="8" spans="1:18" ht="21.6" x14ac:dyDescent="0.25">
      <c r="A8" s="28"/>
      <c r="B8" s="30"/>
      <c r="C8" s="106">
        <v>1</v>
      </c>
      <c r="D8" s="7" t="s">
        <v>50</v>
      </c>
      <c r="E8" s="104"/>
      <c r="F8" s="69"/>
      <c r="G8" s="30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</row>
    <row r="9" spans="1:18" ht="21.6" x14ac:dyDescent="0.25">
      <c r="A9" s="28"/>
      <c r="B9" s="30"/>
      <c r="C9" s="107"/>
      <c r="D9" s="7" t="s">
        <v>51</v>
      </c>
      <c r="E9" s="104"/>
      <c r="F9" s="29"/>
      <c r="G9" s="30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</row>
    <row r="10" spans="1:18" ht="21.6" x14ac:dyDescent="0.25">
      <c r="A10" s="28"/>
      <c r="B10" s="30"/>
      <c r="C10" s="93"/>
      <c r="D10" s="27"/>
      <c r="E10" s="104"/>
      <c r="F10" s="30"/>
      <c r="G10" s="30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</row>
    <row r="11" spans="1:18" ht="21.6" x14ac:dyDescent="0.25">
      <c r="A11" s="28"/>
      <c r="B11" s="30"/>
      <c r="C11" s="106">
        <v>2</v>
      </c>
      <c r="D11" s="7" t="s">
        <v>52</v>
      </c>
      <c r="E11" s="104"/>
      <c r="F11" s="29"/>
      <c r="G11" s="30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</row>
    <row r="12" spans="1:18" ht="21.6" x14ac:dyDescent="0.25">
      <c r="A12" s="28"/>
      <c r="B12" s="30"/>
      <c r="C12" s="107"/>
      <c r="D12" s="7" t="s">
        <v>53</v>
      </c>
      <c r="E12" s="104"/>
      <c r="F12" s="29"/>
      <c r="G12" s="30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</row>
    <row r="13" spans="1:18" ht="21.6" x14ac:dyDescent="0.25">
      <c r="A13" s="28"/>
      <c r="B13" s="30"/>
      <c r="C13" s="94"/>
      <c r="D13" s="27"/>
      <c r="E13" s="104"/>
      <c r="F13" s="30"/>
      <c r="G13" s="30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</row>
    <row r="14" spans="1:18" ht="21.6" x14ac:dyDescent="0.25">
      <c r="A14" s="28"/>
      <c r="B14" s="30"/>
      <c r="C14" s="103">
        <v>3</v>
      </c>
      <c r="D14" s="7" t="s">
        <v>54</v>
      </c>
      <c r="E14" s="104"/>
      <c r="F14" s="29"/>
      <c r="G14" s="30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</row>
    <row r="15" spans="1:18" ht="21.6" x14ac:dyDescent="0.25">
      <c r="A15" s="28"/>
      <c r="B15" s="30"/>
      <c r="C15" s="103"/>
      <c r="D15" s="7" t="s">
        <v>55</v>
      </c>
      <c r="E15" s="104"/>
      <c r="F15" s="29"/>
      <c r="G15" s="30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</row>
    <row r="16" spans="1:18" ht="21.6" x14ac:dyDescent="0.25">
      <c r="A16" s="28"/>
      <c r="B16" s="30"/>
      <c r="C16" s="94"/>
      <c r="D16" s="27"/>
      <c r="E16" s="104"/>
      <c r="F16" s="30"/>
      <c r="G16" s="30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</row>
    <row r="17" spans="1:54" ht="21.6" x14ac:dyDescent="0.25">
      <c r="A17" s="28"/>
      <c r="B17" s="30"/>
      <c r="C17" s="103">
        <v>4</v>
      </c>
      <c r="D17" s="7" t="s">
        <v>56</v>
      </c>
      <c r="E17" s="104"/>
      <c r="F17" s="29"/>
      <c r="G17" s="30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</row>
    <row r="18" spans="1:54" ht="21.6" x14ac:dyDescent="0.25">
      <c r="A18" s="28"/>
      <c r="B18" s="30"/>
      <c r="C18" s="103"/>
      <c r="D18" s="7" t="s">
        <v>57</v>
      </c>
      <c r="E18" s="104"/>
      <c r="F18" s="29"/>
      <c r="G18" s="30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</row>
    <row r="19" spans="1:54" ht="21.6" x14ac:dyDescent="0.25">
      <c r="A19" s="28"/>
      <c r="B19" s="30"/>
      <c r="C19" s="94"/>
      <c r="D19" s="27"/>
      <c r="E19" s="104"/>
      <c r="F19" s="30"/>
      <c r="G19" s="30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</row>
    <row r="20" spans="1:54" ht="21.6" x14ac:dyDescent="0.25">
      <c r="A20" s="28"/>
      <c r="B20" s="30"/>
      <c r="C20" s="103">
        <v>5</v>
      </c>
      <c r="D20" s="7" t="s">
        <v>58</v>
      </c>
      <c r="E20" s="104"/>
      <c r="F20" s="29"/>
      <c r="G20" s="30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</row>
    <row r="21" spans="1:54" ht="21.6" x14ac:dyDescent="0.25">
      <c r="A21" s="28"/>
      <c r="B21" s="30"/>
      <c r="C21" s="103"/>
      <c r="D21" s="7" t="s">
        <v>59</v>
      </c>
      <c r="E21" s="104"/>
      <c r="F21" s="29"/>
      <c r="G21" s="30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</row>
    <row r="22" spans="1:54" ht="21.6" x14ac:dyDescent="0.25">
      <c r="A22" s="28"/>
      <c r="B22" s="30"/>
      <c r="C22" s="94"/>
      <c r="D22" s="27"/>
      <c r="E22" s="104"/>
      <c r="F22" s="30"/>
      <c r="G22" s="30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</row>
    <row r="23" spans="1:54" ht="21.6" x14ac:dyDescent="0.25">
      <c r="A23" s="28"/>
      <c r="B23" s="30"/>
      <c r="C23" s="103">
        <v>6</v>
      </c>
      <c r="D23" s="7" t="s">
        <v>60</v>
      </c>
      <c r="E23" s="104"/>
      <c r="F23" s="29"/>
      <c r="G23" s="30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</row>
    <row r="24" spans="1:54" ht="21.6" x14ac:dyDescent="0.25">
      <c r="A24" s="28"/>
      <c r="B24" s="30"/>
      <c r="C24" s="103"/>
      <c r="D24" s="7" t="s">
        <v>61</v>
      </c>
      <c r="E24" s="104"/>
      <c r="F24" s="29"/>
      <c r="G24" s="30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</row>
    <row r="25" spans="1:54" ht="21.6" x14ac:dyDescent="0.25">
      <c r="A25" s="28"/>
      <c r="B25" s="30"/>
      <c r="C25" s="94"/>
      <c r="D25" s="27"/>
      <c r="E25" s="104"/>
      <c r="F25" s="30"/>
      <c r="G25" s="30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</row>
    <row r="26" spans="1:54" ht="21.6" x14ac:dyDescent="0.25">
      <c r="A26" s="28"/>
      <c r="B26" s="30"/>
      <c r="C26" s="103">
        <v>7</v>
      </c>
      <c r="D26" s="7" t="s">
        <v>62</v>
      </c>
      <c r="E26" s="104"/>
      <c r="F26" s="29"/>
      <c r="G26" s="30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</row>
    <row r="27" spans="1:54" ht="21.6" x14ac:dyDescent="0.25">
      <c r="A27" s="28"/>
      <c r="B27" s="30"/>
      <c r="C27" s="103"/>
      <c r="D27" s="7" t="s">
        <v>63</v>
      </c>
      <c r="E27" s="104"/>
      <c r="F27" s="29"/>
      <c r="G27" s="30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</row>
    <row r="28" spans="1:54" ht="21.6" x14ac:dyDescent="0.25">
      <c r="A28" s="28"/>
      <c r="B28" s="30"/>
      <c r="C28" s="94"/>
      <c r="D28" s="27"/>
      <c r="E28" s="104"/>
      <c r="F28" s="30"/>
      <c r="G28" s="30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</row>
    <row r="29" spans="1:54" ht="21.6" x14ac:dyDescent="0.25">
      <c r="A29" s="28"/>
      <c r="B29" s="30"/>
      <c r="C29" s="103">
        <v>8</v>
      </c>
      <c r="D29" s="7" t="s">
        <v>64</v>
      </c>
      <c r="E29" s="104"/>
      <c r="F29" s="29"/>
      <c r="G29" s="30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</row>
    <row r="30" spans="1:54" s="79" customFormat="1" ht="21.6" x14ac:dyDescent="0.25">
      <c r="A30" s="78"/>
      <c r="B30" s="84"/>
      <c r="C30" s="103"/>
      <c r="D30" s="7" t="s">
        <v>65</v>
      </c>
      <c r="E30" s="104"/>
      <c r="F30" s="29"/>
      <c r="G30" s="30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6"/>
      <c r="AW30" s="76"/>
      <c r="AX30" s="76"/>
      <c r="AY30" s="76"/>
      <c r="AZ30" s="76"/>
      <c r="BA30" s="76"/>
      <c r="BB30" s="76"/>
    </row>
    <row r="31" spans="1:54" s="79" customFormat="1" ht="21.6" x14ac:dyDescent="0.25">
      <c r="A31" s="78"/>
      <c r="B31" s="84"/>
      <c r="C31" s="94"/>
      <c r="D31" s="27"/>
      <c r="E31" s="104"/>
      <c r="F31" s="30"/>
      <c r="G31" s="30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</row>
    <row r="32" spans="1:54" s="79" customFormat="1" ht="21.6" x14ac:dyDescent="0.25">
      <c r="A32" s="78"/>
      <c r="B32" s="84"/>
      <c r="C32" s="103">
        <v>9</v>
      </c>
      <c r="D32" s="7" t="s">
        <v>66</v>
      </c>
      <c r="E32" s="104"/>
      <c r="F32" s="29"/>
      <c r="G32" s="30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  <c r="AV32" s="76"/>
      <c r="AW32" s="76"/>
      <c r="AX32" s="76"/>
      <c r="AY32" s="76"/>
      <c r="AZ32" s="76"/>
      <c r="BA32" s="76"/>
      <c r="BB32" s="76"/>
    </row>
    <row r="33" spans="1:54" s="79" customFormat="1" ht="21.6" x14ac:dyDescent="0.25">
      <c r="A33" s="78"/>
      <c r="B33" s="84"/>
      <c r="C33" s="103"/>
      <c r="D33" s="7" t="s">
        <v>67</v>
      </c>
      <c r="E33" s="104"/>
      <c r="F33" s="29"/>
      <c r="G33" s="30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</row>
    <row r="34" spans="1:54" s="79" customFormat="1" ht="21.6" x14ac:dyDescent="0.25">
      <c r="A34" s="78"/>
      <c r="B34" s="84"/>
      <c r="C34" s="94"/>
      <c r="D34" s="27"/>
      <c r="E34" s="104"/>
      <c r="F34" s="30"/>
      <c r="G34" s="30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</row>
    <row r="35" spans="1:54" s="79" customFormat="1" ht="21.6" customHeight="1" x14ac:dyDescent="0.25">
      <c r="A35" s="78"/>
      <c r="B35" s="84"/>
      <c r="C35" s="103">
        <v>10</v>
      </c>
      <c r="D35" s="7" t="s">
        <v>68</v>
      </c>
      <c r="E35" s="104"/>
      <c r="F35" s="29"/>
      <c r="G35" s="30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</row>
    <row r="36" spans="1:54" s="79" customFormat="1" ht="21.6" x14ac:dyDescent="0.25">
      <c r="A36" s="78"/>
      <c r="B36" s="84"/>
      <c r="C36" s="103"/>
      <c r="D36" s="7" t="s">
        <v>69</v>
      </c>
      <c r="E36" s="104"/>
      <c r="F36" s="29"/>
      <c r="G36" s="30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6"/>
    </row>
    <row r="37" spans="1:54" s="79" customFormat="1" ht="21.6" x14ac:dyDescent="0.25">
      <c r="A37" s="78"/>
      <c r="B37" s="84"/>
      <c r="C37" s="94"/>
      <c r="D37" s="27"/>
      <c r="E37" s="104"/>
      <c r="F37" s="30"/>
      <c r="G37" s="30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6"/>
      <c r="AZ37" s="76"/>
      <c r="BA37" s="76"/>
      <c r="BB37" s="76"/>
    </row>
    <row r="38" spans="1:54" s="79" customFormat="1" ht="21.6" x14ac:dyDescent="0.25">
      <c r="A38" s="78"/>
      <c r="B38" s="84"/>
      <c r="C38" s="103">
        <v>11</v>
      </c>
      <c r="D38" s="7" t="s">
        <v>70</v>
      </c>
      <c r="E38" s="104"/>
      <c r="F38" s="29"/>
      <c r="G38" s="30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6"/>
      <c r="AZ38" s="76"/>
      <c r="BA38" s="76"/>
      <c r="BB38" s="76"/>
    </row>
    <row r="39" spans="1:54" s="79" customFormat="1" ht="21.6" x14ac:dyDescent="0.25">
      <c r="A39" s="78"/>
      <c r="B39" s="84"/>
      <c r="C39" s="103"/>
      <c r="D39" s="7" t="s">
        <v>71</v>
      </c>
      <c r="E39" s="104"/>
      <c r="F39" s="29"/>
      <c r="G39" s="30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6"/>
    </row>
    <row r="40" spans="1:54" s="79" customFormat="1" ht="21.6" x14ac:dyDescent="0.25">
      <c r="A40" s="78"/>
      <c r="B40" s="84"/>
      <c r="C40" s="94"/>
      <c r="D40" s="27"/>
      <c r="E40" s="104"/>
      <c r="F40" s="30"/>
      <c r="G40" s="30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6"/>
    </row>
    <row r="41" spans="1:54" s="79" customFormat="1" ht="21.6" x14ac:dyDescent="0.25">
      <c r="A41" s="78"/>
      <c r="B41" s="84"/>
      <c r="C41" s="103">
        <v>12</v>
      </c>
      <c r="D41" s="7" t="s">
        <v>72</v>
      </c>
      <c r="E41" s="104"/>
      <c r="F41" s="29"/>
      <c r="G41" s="30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6"/>
    </row>
    <row r="42" spans="1:54" s="79" customFormat="1" ht="21.6" x14ac:dyDescent="0.25">
      <c r="A42" s="78"/>
      <c r="B42" s="84"/>
      <c r="C42" s="103"/>
      <c r="D42" s="7" t="s">
        <v>73</v>
      </c>
      <c r="E42" s="104"/>
      <c r="F42" s="29"/>
      <c r="G42" s="30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  <c r="AP42" s="76"/>
      <c r="AQ42" s="76"/>
      <c r="AR42" s="76"/>
      <c r="AS42" s="76"/>
      <c r="AT42" s="76"/>
      <c r="AU42" s="76"/>
      <c r="AV42" s="76"/>
      <c r="AW42" s="76"/>
      <c r="AX42" s="76"/>
      <c r="AY42" s="76"/>
      <c r="AZ42" s="76"/>
      <c r="BA42" s="76"/>
      <c r="BB42" s="76"/>
    </row>
    <row r="43" spans="1:54" s="79" customFormat="1" ht="21.6" x14ac:dyDescent="0.25">
      <c r="A43" s="78"/>
      <c r="B43" s="84"/>
      <c r="C43" s="94"/>
      <c r="D43" s="27"/>
      <c r="E43" s="104"/>
      <c r="F43" s="30"/>
      <c r="G43" s="30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6"/>
    </row>
    <row r="44" spans="1:54" s="79" customFormat="1" ht="21.6" x14ac:dyDescent="0.25">
      <c r="A44" s="78"/>
      <c r="B44" s="84"/>
      <c r="C44" s="103">
        <v>13</v>
      </c>
      <c r="D44" s="7" t="s">
        <v>74</v>
      </c>
      <c r="E44" s="104"/>
      <c r="F44" s="29"/>
      <c r="G44" s="30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6"/>
    </row>
    <row r="45" spans="1:54" s="79" customFormat="1" ht="21.6" x14ac:dyDescent="0.25">
      <c r="A45" s="78"/>
      <c r="B45" s="84"/>
      <c r="C45" s="103"/>
      <c r="D45" s="7" t="s">
        <v>75</v>
      </c>
      <c r="E45" s="104"/>
      <c r="F45" s="29"/>
      <c r="G45" s="30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6"/>
    </row>
    <row r="46" spans="1:54" s="79" customFormat="1" ht="21.6" x14ac:dyDescent="0.25">
      <c r="A46" s="78"/>
      <c r="B46" s="84"/>
      <c r="C46" s="94"/>
      <c r="D46" s="27"/>
      <c r="E46" s="104"/>
      <c r="F46" s="30"/>
      <c r="G46" s="30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  <c r="AP46" s="76"/>
      <c r="AQ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76"/>
    </row>
    <row r="47" spans="1:54" s="79" customFormat="1" ht="21.6" x14ac:dyDescent="0.25">
      <c r="A47" s="78"/>
      <c r="B47" s="84"/>
      <c r="C47" s="103">
        <v>14</v>
      </c>
      <c r="D47" s="7" t="s">
        <v>76</v>
      </c>
      <c r="E47" s="104"/>
      <c r="F47" s="29"/>
      <c r="G47" s="30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76"/>
    </row>
    <row r="48" spans="1:54" s="79" customFormat="1" ht="21.6" x14ac:dyDescent="0.25">
      <c r="A48" s="78"/>
      <c r="B48" s="84"/>
      <c r="C48" s="103"/>
      <c r="D48" s="7" t="s">
        <v>77</v>
      </c>
      <c r="E48" s="104"/>
      <c r="F48" s="29"/>
      <c r="G48" s="30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76"/>
    </row>
    <row r="49" spans="1:54" s="79" customFormat="1" ht="21.6" x14ac:dyDescent="0.25">
      <c r="A49" s="78"/>
      <c r="B49" s="84"/>
      <c r="C49" s="94"/>
      <c r="D49" s="27"/>
      <c r="E49" s="104"/>
      <c r="F49" s="30"/>
      <c r="G49" s="30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76"/>
    </row>
    <row r="50" spans="1:54" s="79" customFormat="1" ht="21.6" x14ac:dyDescent="0.25">
      <c r="A50" s="78"/>
      <c r="B50" s="84"/>
      <c r="C50" s="103">
        <v>15</v>
      </c>
      <c r="D50" s="7" t="s">
        <v>78</v>
      </c>
      <c r="E50" s="104"/>
      <c r="F50" s="29"/>
      <c r="G50" s="30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76"/>
    </row>
    <row r="51" spans="1:54" s="79" customFormat="1" ht="21.6" x14ac:dyDescent="0.25">
      <c r="A51" s="78"/>
      <c r="B51" s="84"/>
      <c r="C51" s="103"/>
      <c r="D51" s="7" t="s">
        <v>79</v>
      </c>
      <c r="E51" s="104"/>
      <c r="F51" s="29"/>
      <c r="G51" s="30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76"/>
    </row>
    <row r="52" spans="1:54" s="79" customFormat="1" ht="21.6" x14ac:dyDescent="0.25">
      <c r="A52" s="78"/>
      <c r="B52" s="84"/>
      <c r="C52" s="94"/>
      <c r="D52" s="27"/>
      <c r="E52" s="104"/>
      <c r="F52" s="30"/>
      <c r="G52" s="30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6"/>
    </row>
    <row r="53" spans="1:54" s="79" customFormat="1" ht="21.6" x14ac:dyDescent="0.25">
      <c r="A53" s="78"/>
      <c r="B53" s="84"/>
      <c r="C53" s="103">
        <v>16</v>
      </c>
      <c r="D53" s="7" t="s">
        <v>80</v>
      </c>
      <c r="E53" s="104"/>
      <c r="F53" s="29"/>
      <c r="G53" s="30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76"/>
    </row>
    <row r="54" spans="1:54" s="79" customFormat="1" ht="21.6" x14ac:dyDescent="0.25">
      <c r="A54" s="78"/>
      <c r="B54" s="84"/>
      <c r="C54" s="103"/>
      <c r="D54" s="7" t="s">
        <v>81</v>
      </c>
      <c r="E54" s="104"/>
      <c r="F54" s="29"/>
      <c r="G54" s="30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  <c r="AP54" s="76"/>
      <c r="AQ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76"/>
    </row>
    <row r="55" spans="1:54" s="79" customFormat="1" ht="21.6" x14ac:dyDescent="0.25">
      <c r="A55" s="78"/>
      <c r="B55" s="84"/>
      <c r="C55" s="94"/>
      <c r="D55" s="27"/>
      <c r="E55" s="104"/>
      <c r="F55" s="30"/>
      <c r="G55" s="30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76"/>
    </row>
    <row r="56" spans="1:54" s="79" customFormat="1" ht="21.6" x14ac:dyDescent="0.25">
      <c r="A56" s="78"/>
      <c r="B56" s="84"/>
      <c r="C56" s="103">
        <v>17</v>
      </c>
      <c r="D56" s="7" t="s">
        <v>82</v>
      </c>
      <c r="E56" s="104"/>
      <c r="F56" s="29"/>
      <c r="G56" s="30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76"/>
    </row>
    <row r="57" spans="1:54" s="79" customFormat="1" ht="21.6" x14ac:dyDescent="0.25">
      <c r="A57" s="78"/>
      <c r="B57" s="84"/>
      <c r="C57" s="103"/>
      <c r="D57" s="7" t="s">
        <v>83</v>
      </c>
      <c r="E57" s="104"/>
      <c r="F57" s="29"/>
      <c r="G57" s="30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76"/>
    </row>
    <row r="58" spans="1:54" s="79" customFormat="1" ht="21.6" x14ac:dyDescent="0.25">
      <c r="A58" s="78"/>
      <c r="B58" s="84"/>
      <c r="C58" s="94"/>
      <c r="D58" s="27"/>
      <c r="E58" s="104"/>
      <c r="F58" s="30"/>
      <c r="G58" s="30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/>
      <c r="BB58" s="76"/>
    </row>
    <row r="59" spans="1:54" s="79" customFormat="1" ht="21.6" x14ac:dyDescent="0.25">
      <c r="A59" s="78"/>
      <c r="B59" s="84"/>
      <c r="C59" s="103">
        <v>18</v>
      </c>
      <c r="D59" s="7" t="s">
        <v>84</v>
      </c>
      <c r="E59" s="104"/>
      <c r="F59" s="29"/>
      <c r="G59" s="30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76"/>
      <c r="AZ59" s="76"/>
      <c r="BA59" s="76"/>
      <c r="BB59" s="76"/>
    </row>
    <row r="60" spans="1:54" s="79" customFormat="1" ht="21.6" x14ac:dyDescent="0.25">
      <c r="A60" s="78"/>
      <c r="B60" s="84"/>
      <c r="C60" s="103"/>
      <c r="D60" s="7" t="s">
        <v>85</v>
      </c>
      <c r="E60" s="104"/>
      <c r="F60" s="29"/>
      <c r="G60" s="30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76"/>
    </row>
    <row r="61" spans="1:54" s="79" customFormat="1" ht="21.6" x14ac:dyDescent="0.25">
      <c r="A61" s="78"/>
      <c r="B61" s="84"/>
      <c r="C61" s="94"/>
      <c r="D61" s="27"/>
      <c r="E61" s="104"/>
      <c r="F61" s="30"/>
      <c r="G61" s="30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  <c r="AP61" s="76"/>
      <c r="AQ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76"/>
    </row>
    <row r="62" spans="1:54" s="79" customFormat="1" ht="21.6" x14ac:dyDescent="0.25">
      <c r="A62" s="78"/>
      <c r="B62" s="84"/>
      <c r="C62" s="103">
        <v>19</v>
      </c>
      <c r="D62" s="7" t="s">
        <v>86</v>
      </c>
      <c r="E62" s="104"/>
      <c r="F62" s="29"/>
      <c r="G62" s="30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  <c r="AP62" s="76"/>
      <c r="AQ62" s="76"/>
      <c r="AR62" s="76"/>
      <c r="AS62" s="76"/>
      <c r="AT62" s="76"/>
      <c r="AU62" s="76"/>
      <c r="AV62" s="76"/>
      <c r="AW62" s="76"/>
      <c r="AX62" s="76"/>
      <c r="AY62" s="76"/>
      <c r="AZ62" s="76"/>
      <c r="BA62" s="76"/>
      <c r="BB62" s="76"/>
    </row>
    <row r="63" spans="1:54" s="79" customFormat="1" ht="21.6" x14ac:dyDescent="0.25">
      <c r="A63" s="78"/>
      <c r="B63" s="84"/>
      <c r="C63" s="103"/>
      <c r="D63" s="7" t="s">
        <v>87</v>
      </c>
      <c r="E63" s="104"/>
      <c r="F63" s="29"/>
      <c r="G63" s="30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  <c r="AR63" s="76"/>
      <c r="AS63" s="76"/>
      <c r="AT63" s="76"/>
      <c r="AU63" s="76"/>
      <c r="AV63" s="76"/>
      <c r="AW63" s="76"/>
      <c r="AX63" s="76"/>
      <c r="AY63" s="76"/>
      <c r="AZ63" s="76"/>
      <c r="BA63" s="76"/>
      <c r="BB63" s="76"/>
    </row>
    <row r="64" spans="1:54" s="79" customFormat="1" ht="21.6" x14ac:dyDescent="0.25">
      <c r="A64" s="78"/>
      <c r="B64" s="84"/>
      <c r="C64" s="94"/>
      <c r="D64" s="27"/>
      <c r="E64" s="104"/>
      <c r="F64" s="30"/>
      <c r="G64" s="30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  <c r="AP64" s="76"/>
      <c r="AQ64" s="76"/>
      <c r="AR64" s="76"/>
      <c r="AS64" s="76"/>
      <c r="AT64" s="76"/>
      <c r="AU64" s="76"/>
      <c r="AV64" s="76"/>
      <c r="AW64" s="76"/>
      <c r="AX64" s="76"/>
      <c r="AY64" s="76"/>
      <c r="AZ64" s="76"/>
      <c r="BA64" s="76"/>
      <c r="BB64" s="76"/>
    </row>
    <row r="65" spans="1:54" s="79" customFormat="1" ht="20.25" customHeight="1" x14ac:dyDescent="0.25">
      <c r="A65" s="78"/>
      <c r="B65" s="84"/>
      <c r="C65" s="103">
        <v>20</v>
      </c>
      <c r="D65" s="7" t="s">
        <v>88</v>
      </c>
      <c r="E65" s="104"/>
      <c r="F65" s="29"/>
      <c r="G65" s="30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  <c r="AP65" s="76"/>
      <c r="AQ65" s="76"/>
      <c r="AR65" s="76"/>
      <c r="AS65" s="76"/>
      <c r="AT65" s="76"/>
      <c r="AU65" s="76"/>
      <c r="AV65" s="76"/>
      <c r="AW65" s="76"/>
      <c r="AX65" s="76"/>
      <c r="AY65" s="76"/>
      <c r="AZ65" s="76"/>
      <c r="BA65" s="76"/>
      <c r="BB65" s="76"/>
    </row>
    <row r="66" spans="1:54" s="79" customFormat="1" ht="21.6" x14ac:dyDescent="0.25">
      <c r="A66" s="78"/>
      <c r="B66" s="84"/>
      <c r="C66" s="103"/>
      <c r="D66" s="7" t="s">
        <v>89</v>
      </c>
      <c r="E66" s="104"/>
      <c r="F66" s="29"/>
      <c r="G66" s="30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  <c r="AP66" s="76"/>
      <c r="AQ66" s="76"/>
      <c r="AR66" s="76"/>
      <c r="AS66" s="76"/>
      <c r="AT66" s="76"/>
      <c r="AU66" s="76"/>
      <c r="AV66" s="76"/>
      <c r="AW66" s="76"/>
      <c r="AX66" s="76"/>
      <c r="AY66" s="76"/>
      <c r="AZ66" s="76"/>
      <c r="BA66" s="76"/>
      <c r="BB66" s="76"/>
    </row>
    <row r="67" spans="1:54" s="79" customFormat="1" ht="21.6" x14ac:dyDescent="0.25">
      <c r="A67" s="78"/>
      <c r="B67" s="84"/>
      <c r="C67" s="94"/>
      <c r="D67" s="27"/>
      <c r="E67" s="104"/>
      <c r="F67" s="30"/>
      <c r="G67" s="30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  <c r="AR67" s="76"/>
      <c r="AS67" s="76"/>
      <c r="AT67" s="76"/>
      <c r="AU67" s="76"/>
      <c r="AV67" s="76"/>
      <c r="AW67" s="76"/>
      <c r="AX67" s="76"/>
      <c r="AY67" s="76"/>
      <c r="AZ67" s="76"/>
      <c r="BA67" s="76"/>
      <c r="BB67" s="76"/>
    </row>
    <row r="68" spans="1:54" s="79" customFormat="1" ht="21.6" x14ac:dyDescent="0.25">
      <c r="A68" s="78"/>
      <c r="B68" s="84"/>
      <c r="C68" s="103">
        <v>21</v>
      </c>
      <c r="D68" s="7" t="s">
        <v>90</v>
      </c>
      <c r="E68" s="104"/>
      <c r="F68" s="29"/>
      <c r="G68" s="30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  <c r="AP68" s="76"/>
      <c r="AQ68" s="76"/>
      <c r="AR68" s="76"/>
      <c r="AS68" s="76"/>
      <c r="AT68" s="76"/>
      <c r="AU68" s="76"/>
      <c r="AV68" s="76"/>
      <c r="AW68" s="76"/>
      <c r="AX68" s="76"/>
      <c r="AY68" s="76"/>
      <c r="AZ68" s="76"/>
      <c r="BA68" s="76"/>
      <c r="BB68" s="76"/>
    </row>
    <row r="69" spans="1:54" s="79" customFormat="1" ht="21.6" x14ac:dyDescent="0.25">
      <c r="A69" s="78"/>
      <c r="B69" s="84"/>
      <c r="C69" s="103"/>
      <c r="D69" s="7" t="s">
        <v>91</v>
      </c>
      <c r="E69" s="104"/>
      <c r="F69" s="29"/>
      <c r="G69" s="30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  <c r="AP69" s="76"/>
      <c r="AQ69" s="76"/>
      <c r="AR69" s="76"/>
      <c r="AS69" s="76"/>
      <c r="AT69" s="76"/>
      <c r="AU69" s="76"/>
      <c r="AV69" s="76"/>
      <c r="AW69" s="76"/>
      <c r="AX69" s="76"/>
      <c r="AY69" s="76"/>
      <c r="AZ69" s="76"/>
      <c r="BA69" s="76"/>
      <c r="BB69" s="76"/>
    </row>
    <row r="70" spans="1:54" s="79" customFormat="1" ht="21.6" x14ac:dyDescent="0.25">
      <c r="A70" s="78"/>
      <c r="B70" s="84"/>
      <c r="C70" s="94"/>
      <c r="D70" s="27"/>
      <c r="E70" s="104"/>
      <c r="F70" s="30"/>
      <c r="G70" s="30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  <c r="AP70" s="76"/>
      <c r="AQ70" s="76"/>
      <c r="AR70" s="76"/>
      <c r="AS70" s="76"/>
      <c r="AT70" s="76"/>
      <c r="AU70" s="76"/>
      <c r="AV70" s="76"/>
      <c r="AW70" s="76"/>
      <c r="AX70" s="76"/>
      <c r="AY70" s="76"/>
      <c r="AZ70" s="76"/>
      <c r="BA70" s="76"/>
      <c r="BB70" s="76"/>
    </row>
    <row r="71" spans="1:54" s="79" customFormat="1" ht="21.6" x14ac:dyDescent="0.25">
      <c r="A71" s="78"/>
      <c r="B71" s="84"/>
      <c r="C71" s="103">
        <v>22</v>
      </c>
      <c r="D71" s="7" t="s">
        <v>92</v>
      </c>
      <c r="E71" s="104"/>
      <c r="F71" s="29"/>
      <c r="G71" s="30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  <c r="AP71" s="76"/>
      <c r="AQ71" s="76"/>
      <c r="AR71" s="76"/>
      <c r="AS71" s="76"/>
      <c r="AT71" s="76"/>
      <c r="AU71" s="76"/>
      <c r="AV71" s="76"/>
      <c r="AW71" s="76"/>
      <c r="AX71" s="76"/>
      <c r="AY71" s="76"/>
      <c r="AZ71" s="76"/>
      <c r="BA71" s="76"/>
      <c r="BB71" s="76"/>
    </row>
    <row r="72" spans="1:54" s="79" customFormat="1" ht="21.6" x14ac:dyDescent="0.25">
      <c r="A72" s="78"/>
      <c r="B72" s="84"/>
      <c r="C72" s="103"/>
      <c r="D72" s="7" t="s">
        <v>93</v>
      </c>
      <c r="E72" s="104"/>
      <c r="F72" s="29"/>
      <c r="G72" s="30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</row>
    <row r="73" spans="1:54" s="79" customFormat="1" ht="21.6" x14ac:dyDescent="0.25">
      <c r="A73" s="78"/>
      <c r="B73" s="84"/>
      <c r="C73" s="94"/>
      <c r="D73" s="27"/>
      <c r="E73" s="104"/>
      <c r="F73" s="30"/>
      <c r="G73" s="30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  <c r="AP73" s="76"/>
      <c r="AQ73" s="76"/>
      <c r="AR73" s="76"/>
      <c r="AS73" s="76"/>
      <c r="AT73" s="76"/>
      <c r="AU73" s="76"/>
      <c r="AV73" s="76"/>
      <c r="AW73" s="76"/>
      <c r="AX73" s="76"/>
      <c r="AY73" s="76"/>
      <c r="AZ73" s="76"/>
      <c r="BA73" s="76"/>
      <c r="BB73" s="76"/>
    </row>
    <row r="74" spans="1:54" s="79" customFormat="1" ht="21.6" x14ac:dyDescent="0.25">
      <c r="A74" s="78"/>
      <c r="B74" s="84"/>
      <c r="C74" s="103">
        <v>23</v>
      </c>
      <c r="D74" s="7" t="s">
        <v>94</v>
      </c>
      <c r="E74" s="104"/>
      <c r="F74" s="29"/>
      <c r="G74" s="30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76"/>
      <c r="AQ74" s="76"/>
      <c r="AR74" s="76"/>
      <c r="AS74" s="76"/>
      <c r="AT74" s="76"/>
      <c r="AU74" s="76"/>
      <c r="AV74" s="76"/>
      <c r="AW74" s="76"/>
      <c r="AX74" s="76"/>
      <c r="AY74" s="76"/>
      <c r="AZ74" s="76"/>
      <c r="BA74" s="76"/>
      <c r="BB74" s="76"/>
    </row>
    <row r="75" spans="1:54" s="79" customFormat="1" ht="21.6" x14ac:dyDescent="0.25">
      <c r="A75" s="78"/>
      <c r="B75" s="84"/>
      <c r="C75" s="103"/>
      <c r="D75" s="7" t="s">
        <v>95</v>
      </c>
      <c r="E75" s="104"/>
      <c r="F75" s="29"/>
      <c r="G75" s="30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76"/>
      <c r="AO75" s="76"/>
      <c r="AP75" s="76"/>
      <c r="AQ75" s="76"/>
      <c r="AR75" s="76"/>
      <c r="AS75" s="76"/>
      <c r="AT75" s="76"/>
      <c r="AU75" s="76"/>
      <c r="AV75" s="76"/>
      <c r="AW75" s="76"/>
      <c r="AX75" s="76"/>
      <c r="AY75" s="76"/>
      <c r="AZ75" s="76"/>
      <c r="BA75" s="76"/>
      <c r="BB75" s="76"/>
    </row>
    <row r="76" spans="1:54" s="79" customFormat="1" ht="21.6" x14ac:dyDescent="0.25">
      <c r="A76" s="78"/>
      <c r="B76" s="84"/>
      <c r="C76" s="94"/>
      <c r="D76" s="27"/>
      <c r="E76" s="104"/>
      <c r="F76" s="30"/>
      <c r="G76" s="30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  <c r="AP76" s="76"/>
      <c r="AQ76" s="76"/>
      <c r="AR76" s="76"/>
      <c r="AS76" s="76"/>
      <c r="AT76" s="76"/>
      <c r="AU76" s="76"/>
      <c r="AV76" s="76"/>
      <c r="AW76" s="76"/>
      <c r="AX76" s="76"/>
      <c r="AY76" s="76"/>
      <c r="AZ76" s="76"/>
      <c r="BA76" s="76"/>
      <c r="BB76" s="76"/>
    </row>
    <row r="77" spans="1:54" s="79" customFormat="1" ht="21.6" x14ac:dyDescent="0.25">
      <c r="A77" s="78"/>
      <c r="B77" s="84"/>
      <c r="C77" s="103">
        <v>24</v>
      </c>
      <c r="D77" s="7" t="s">
        <v>96</v>
      </c>
      <c r="E77" s="104"/>
      <c r="F77" s="29"/>
      <c r="G77" s="30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  <c r="AP77" s="76"/>
      <c r="AQ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/>
      <c r="BB77" s="76"/>
    </row>
    <row r="78" spans="1:54" s="79" customFormat="1" ht="21.6" x14ac:dyDescent="0.25">
      <c r="A78" s="78"/>
      <c r="B78" s="84"/>
      <c r="C78" s="103"/>
      <c r="D78" s="7" t="s">
        <v>97</v>
      </c>
      <c r="E78" s="104"/>
      <c r="F78" s="29"/>
      <c r="G78" s="30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6"/>
      <c r="AO78" s="76"/>
      <c r="AP78" s="76"/>
      <c r="AQ78" s="76"/>
      <c r="AR78" s="76"/>
      <c r="AS78" s="76"/>
      <c r="AT78" s="76"/>
      <c r="AU78" s="76"/>
      <c r="AV78" s="76"/>
      <c r="AW78" s="76"/>
      <c r="AX78" s="76"/>
      <c r="AY78" s="76"/>
      <c r="AZ78" s="76"/>
      <c r="BA78" s="76"/>
      <c r="BB78" s="76"/>
    </row>
    <row r="79" spans="1:54" s="79" customFormat="1" ht="21.6" x14ac:dyDescent="0.25">
      <c r="A79" s="78"/>
      <c r="B79" s="84"/>
      <c r="C79" s="94"/>
      <c r="D79" s="27"/>
      <c r="E79" s="104"/>
      <c r="F79" s="30"/>
      <c r="G79" s="30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76"/>
    </row>
    <row r="80" spans="1:54" s="79" customFormat="1" ht="21.6" x14ac:dyDescent="0.25">
      <c r="A80" s="78"/>
      <c r="B80" s="84"/>
      <c r="C80" s="103">
        <v>25</v>
      </c>
      <c r="D80" s="7" t="s">
        <v>98</v>
      </c>
      <c r="E80" s="104"/>
      <c r="F80" s="29"/>
      <c r="G80" s="30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76"/>
      <c r="AQ80" s="76"/>
      <c r="AR80" s="76"/>
      <c r="AS80" s="76"/>
      <c r="AT80" s="76"/>
      <c r="AU80" s="76"/>
      <c r="AV80" s="76"/>
      <c r="AW80" s="76"/>
      <c r="AX80" s="76"/>
      <c r="AY80" s="76"/>
      <c r="AZ80" s="76"/>
      <c r="BA80" s="76"/>
      <c r="BB80" s="76"/>
    </row>
    <row r="81" spans="1:54" s="79" customFormat="1" ht="21.6" x14ac:dyDescent="0.25">
      <c r="A81" s="78"/>
      <c r="B81" s="84"/>
      <c r="C81" s="103"/>
      <c r="D81" s="7" t="s">
        <v>99</v>
      </c>
      <c r="E81" s="104"/>
      <c r="F81" s="29"/>
      <c r="G81" s="30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  <c r="AL81" s="76"/>
      <c r="AM81" s="76"/>
      <c r="AN81" s="76"/>
      <c r="AO81" s="76"/>
      <c r="AP81" s="76"/>
      <c r="AQ81" s="76"/>
      <c r="AR81" s="76"/>
      <c r="AS81" s="76"/>
      <c r="AT81" s="76"/>
      <c r="AU81" s="76"/>
      <c r="AV81" s="76"/>
      <c r="AW81" s="76"/>
      <c r="AX81" s="76"/>
      <c r="AY81" s="76"/>
      <c r="AZ81" s="76"/>
      <c r="BA81" s="76"/>
      <c r="BB81" s="76"/>
    </row>
    <row r="82" spans="1:54" s="79" customFormat="1" ht="21.6" x14ac:dyDescent="0.25">
      <c r="A82" s="78"/>
      <c r="B82" s="84"/>
      <c r="C82" s="94"/>
      <c r="D82" s="27"/>
      <c r="E82" s="104"/>
      <c r="F82" s="30"/>
      <c r="G82" s="30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76"/>
      <c r="AM82" s="76"/>
      <c r="AN82" s="76"/>
      <c r="AO82" s="76"/>
      <c r="AP82" s="76"/>
      <c r="AQ82" s="76"/>
      <c r="AR82" s="76"/>
      <c r="AS82" s="76"/>
      <c r="AT82" s="76"/>
      <c r="AU82" s="76"/>
      <c r="AV82" s="76"/>
      <c r="AW82" s="76"/>
      <c r="AX82" s="76"/>
      <c r="AY82" s="76"/>
      <c r="AZ82" s="76"/>
      <c r="BA82" s="76"/>
      <c r="BB82" s="76"/>
    </row>
    <row r="83" spans="1:54" s="79" customFormat="1" ht="21.6" x14ac:dyDescent="0.25">
      <c r="A83" s="78"/>
      <c r="B83" s="84"/>
      <c r="C83" s="103">
        <v>26</v>
      </c>
      <c r="D83" s="7" t="s">
        <v>100</v>
      </c>
      <c r="E83" s="104"/>
      <c r="F83" s="29"/>
      <c r="G83" s="30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  <c r="AP83" s="76"/>
      <c r="AQ83" s="76"/>
      <c r="AR83" s="76"/>
      <c r="AS83" s="76"/>
      <c r="AT83" s="76"/>
      <c r="AU83" s="76"/>
      <c r="AV83" s="76"/>
      <c r="AW83" s="76"/>
      <c r="AX83" s="76"/>
      <c r="AY83" s="76"/>
      <c r="AZ83" s="76"/>
      <c r="BA83" s="76"/>
      <c r="BB83" s="76"/>
    </row>
    <row r="84" spans="1:54" s="79" customFormat="1" ht="21.6" x14ac:dyDescent="0.25">
      <c r="A84" s="78"/>
      <c r="B84" s="84"/>
      <c r="C84" s="103"/>
      <c r="D84" s="7" t="s">
        <v>101</v>
      </c>
      <c r="E84" s="104"/>
      <c r="F84" s="29"/>
      <c r="G84" s="30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  <c r="AL84" s="76"/>
      <c r="AM84" s="76"/>
      <c r="AN84" s="76"/>
      <c r="AO84" s="76"/>
      <c r="AP84" s="76"/>
      <c r="AQ84" s="76"/>
      <c r="AR84" s="76"/>
      <c r="AS84" s="76"/>
      <c r="AT84" s="76"/>
      <c r="AU84" s="76"/>
      <c r="AV84" s="76"/>
      <c r="AW84" s="76"/>
      <c r="AX84" s="76"/>
      <c r="AY84" s="76"/>
      <c r="AZ84" s="76"/>
      <c r="BA84" s="76"/>
      <c r="BB84" s="76"/>
    </row>
    <row r="85" spans="1:54" s="79" customFormat="1" ht="21.6" x14ac:dyDescent="0.25">
      <c r="A85" s="78"/>
      <c r="B85" s="84"/>
      <c r="C85" s="94"/>
      <c r="D85" s="27"/>
      <c r="E85" s="104"/>
      <c r="F85" s="30"/>
      <c r="G85" s="30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76"/>
      <c r="AO85" s="76"/>
      <c r="AP85" s="76"/>
      <c r="AQ85" s="76"/>
      <c r="AR85" s="76"/>
      <c r="AS85" s="76"/>
      <c r="AT85" s="76"/>
      <c r="AU85" s="76"/>
      <c r="AV85" s="76"/>
      <c r="AW85" s="76"/>
      <c r="AX85" s="76"/>
      <c r="AY85" s="76"/>
      <c r="AZ85" s="76"/>
      <c r="BA85" s="76"/>
      <c r="BB85" s="76"/>
    </row>
    <row r="86" spans="1:54" s="79" customFormat="1" ht="21.6" x14ac:dyDescent="0.25">
      <c r="A86" s="78"/>
      <c r="B86" s="84"/>
      <c r="C86" s="103">
        <v>27</v>
      </c>
      <c r="D86" s="7" t="s">
        <v>102</v>
      </c>
      <c r="E86" s="104"/>
      <c r="F86" s="29"/>
      <c r="G86" s="30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  <c r="AP86" s="76"/>
      <c r="AQ86" s="76"/>
      <c r="AR86" s="76"/>
      <c r="AS86" s="76"/>
      <c r="AT86" s="76"/>
      <c r="AU86" s="76"/>
      <c r="AV86" s="76"/>
      <c r="AW86" s="76"/>
      <c r="AX86" s="76"/>
      <c r="AY86" s="76"/>
      <c r="AZ86" s="76"/>
      <c r="BA86" s="76"/>
      <c r="BB86" s="76"/>
    </row>
    <row r="87" spans="1:54" s="79" customFormat="1" ht="21.6" x14ac:dyDescent="0.25">
      <c r="A87" s="78"/>
      <c r="B87" s="84"/>
      <c r="C87" s="103"/>
      <c r="D87" s="7" t="s">
        <v>103</v>
      </c>
      <c r="E87" s="104"/>
      <c r="F87" s="29"/>
      <c r="G87" s="30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76"/>
      <c r="AL87" s="76"/>
      <c r="AM87" s="76"/>
      <c r="AN87" s="76"/>
      <c r="AO87" s="76"/>
      <c r="AP87" s="76"/>
      <c r="AQ87" s="76"/>
      <c r="AR87" s="76"/>
      <c r="AS87" s="76"/>
      <c r="AT87" s="76"/>
      <c r="AU87" s="76"/>
      <c r="AV87" s="76"/>
      <c r="AW87" s="76"/>
      <c r="AX87" s="76"/>
      <c r="AY87" s="76"/>
      <c r="AZ87" s="76"/>
      <c r="BA87" s="76"/>
      <c r="BB87" s="76"/>
    </row>
    <row r="88" spans="1:54" s="79" customFormat="1" ht="21.6" x14ac:dyDescent="0.25">
      <c r="A88" s="78"/>
      <c r="B88" s="84"/>
      <c r="C88" s="94"/>
      <c r="D88" s="27"/>
      <c r="E88" s="104"/>
      <c r="F88" s="30"/>
      <c r="G88" s="30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  <c r="AL88" s="76"/>
      <c r="AM88" s="76"/>
      <c r="AN88" s="76"/>
      <c r="AO88" s="76"/>
      <c r="AP88" s="76"/>
      <c r="AQ88" s="76"/>
      <c r="AR88" s="76"/>
      <c r="AS88" s="76"/>
      <c r="AT88" s="76"/>
      <c r="AU88" s="76"/>
      <c r="AV88" s="76"/>
      <c r="AW88" s="76"/>
      <c r="AX88" s="76"/>
      <c r="AY88" s="76"/>
      <c r="AZ88" s="76"/>
      <c r="BA88" s="76"/>
      <c r="BB88" s="76"/>
    </row>
    <row r="89" spans="1:54" s="79" customFormat="1" ht="21.6" x14ac:dyDescent="0.25">
      <c r="A89" s="78"/>
      <c r="B89" s="84"/>
      <c r="C89" s="103">
        <v>28</v>
      </c>
      <c r="D89" s="7" t="s">
        <v>104</v>
      </c>
      <c r="E89" s="104"/>
      <c r="F89" s="29"/>
      <c r="G89" s="30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76"/>
      <c r="AO89" s="76"/>
      <c r="AP89" s="76"/>
      <c r="AQ89" s="76"/>
      <c r="AR89" s="76"/>
      <c r="AS89" s="76"/>
      <c r="AT89" s="76"/>
      <c r="AU89" s="76"/>
      <c r="AV89" s="76"/>
      <c r="AW89" s="76"/>
      <c r="AX89" s="76"/>
      <c r="AY89" s="76"/>
      <c r="AZ89" s="76"/>
      <c r="BA89" s="76"/>
      <c r="BB89" s="76"/>
    </row>
    <row r="90" spans="1:54" s="79" customFormat="1" ht="21.6" x14ac:dyDescent="0.25">
      <c r="A90" s="78"/>
      <c r="B90" s="84"/>
      <c r="C90" s="103"/>
      <c r="D90" s="7" t="s">
        <v>105</v>
      </c>
      <c r="E90" s="104"/>
      <c r="F90" s="29"/>
      <c r="G90" s="30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  <c r="AM90" s="76"/>
      <c r="AN90" s="76"/>
      <c r="AO90" s="76"/>
      <c r="AP90" s="76"/>
      <c r="AQ90" s="76"/>
      <c r="AR90" s="76"/>
      <c r="AS90" s="76"/>
      <c r="AT90" s="76"/>
      <c r="AU90" s="76"/>
      <c r="AV90" s="76"/>
      <c r="AW90" s="76"/>
      <c r="AX90" s="76"/>
      <c r="AY90" s="76"/>
      <c r="AZ90" s="76"/>
      <c r="BA90" s="76"/>
      <c r="BB90" s="76"/>
    </row>
    <row r="91" spans="1:54" s="79" customFormat="1" ht="21.6" x14ac:dyDescent="0.25">
      <c r="A91" s="78"/>
      <c r="B91" s="84"/>
      <c r="C91" s="94"/>
      <c r="D91" s="27"/>
      <c r="E91" s="104"/>
      <c r="F91" s="30"/>
      <c r="G91" s="30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  <c r="AM91" s="76"/>
      <c r="AN91" s="76"/>
      <c r="AO91" s="76"/>
      <c r="AP91" s="76"/>
      <c r="AQ91" s="76"/>
      <c r="AR91" s="76"/>
      <c r="AS91" s="76"/>
      <c r="AT91" s="76"/>
      <c r="AU91" s="76"/>
      <c r="AV91" s="76"/>
      <c r="AW91" s="76"/>
      <c r="AX91" s="76"/>
      <c r="AY91" s="76"/>
      <c r="AZ91" s="76"/>
      <c r="BA91" s="76"/>
      <c r="BB91" s="76"/>
    </row>
    <row r="92" spans="1:54" s="79" customFormat="1" ht="21.6" x14ac:dyDescent="0.25">
      <c r="A92" s="78"/>
      <c r="B92" s="84"/>
      <c r="C92" s="103">
        <v>29</v>
      </c>
      <c r="D92" s="7" t="s">
        <v>106</v>
      </c>
      <c r="E92" s="104"/>
      <c r="F92" s="29"/>
      <c r="G92" s="30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  <c r="AR92" s="76"/>
      <c r="AS92" s="76"/>
      <c r="AT92" s="76"/>
      <c r="AU92" s="76"/>
      <c r="AV92" s="76"/>
      <c r="AW92" s="76"/>
      <c r="AX92" s="76"/>
      <c r="AY92" s="76"/>
      <c r="AZ92" s="76"/>
      <c r="BA92" s="76"/>
      <c r="BB92" s="76"/>
    </row>
    <row r="93" spans="1:54" s="79" customFormat="1" ht="21.6" x14ac:dyDescent="0.25">
      <c r="A93" s="78"/>
      <c r="B93" s="84"/>
      <c r="C93" s="103"/>
      <c r="D93" s="7" t="s">
        <v>107</v>
      </c>
      <c r="E93" s="104"/>
      <c r="F93" s="29"/>
      <c r="G93" s="30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  <c r="AM93" s="76"/>
      <c r="AN93" s="76"/>
      <c r="AO93" s="76"/>
      <c r="AP93" s="76"/>
      <c r="AQ93" s="76"/>
      <c r="AR93" s="76"/>
      <c r="AS93" s="76"/>
      <c r="AT93" s="76"/>
      <c r="AU93" s="76"/>
      <c r="AV93" s="76"/>
      <c r="AW93" s="76"/>
      <c r="AX93" s="76"/>
      <c r="AY93" s="76"/>
      <c r="AZ93" s="76"/>
      <c r="BA93" s="76"/>
      <c r="BB93" s="76"/>
    </row>
    <row r="94" spans="1:54" s="79" customFormat="1" ht="21.6" x14ac:dyDescent="0.25">
      <c r="A94" s="78"/>
      <c r="B94" s="84"/>
      <c r="C94" s="94"/>
      <c r="D94" s="27"/>
      <c r="E94" s="104"/>
      <c r="F94" s="30"/>
      <c r="G94" s="30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76"/>
      <c r="AJ94" s="76"/>
      <c r="AK94" s="76"/>
      <c r="AL94" s="76"/>
      <c r="AM94" s="76"/>
      <c r="AN94" s="76"/>
      <c r="AO94" s="76"/>
      <c r="AP94" s="76"/>
      <c r="AQ94" s="76"/>
      <c r="AR94" s="76"/>
      <c r="AS94" s="76"/>
      <c r="AT94" s="76"/>
      <c r="AU94" s="76"/>
      <c r="AV94" s="76"/>
      <c r="AW94" s="76"/>
      <c r="AX94" s="76"/>
      <c r="AY94" s="76"/>
      <c r="AZ94" s="76"/>
      <c r="BA94" s="76"/>
      <c r="BB94" s="76"/>
    </row>
    <row r="95" spans="1:54" s="79" customFormat="1" ht="21.6" x14ac:dyDescent="0.25">
      <c r="A95" s="78"/>
      <c r="B95" s="84"/>
      <c r="C95" s="103">
        <v>30</v>
      </c>
      <c r="D95" s="7" t="s">
        <v>108</v>
      </c>
      <c r="E95" s="104"/>
      <c r="F95" s="29"/>
      <c r="G95" s="30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76"/>
      <c r="AI95" s="76"/>
      <c r="AJ95" s="76"/>
      <c r="AK95" s="76"/>
      <c r="AL95" s="76"/>
      <c r="AM95" s="76"/>
      <c r="AN95" s="76"/>
      <c r="AO95" s="76"/>
      <c r="AP95" s="76"/>
      <c r="AQ95" s="76"/>
      <c r="AR95" s="76"/>
      <c r="AS95" s="76"/>
      <c r="AT95" s="76"/>
      <c r="AU95" s="76"/>
      <c r="AV95" s="76"/>
      <c r="AW95" s="76"/>
      <c r="AX95" s="76"/>
      <c r="AY95" s="76"/>
      <c r="AZ95" s="76"/>
      <c r="BA95" s="76"/>
      <c r="BB95" s="76"/>
    </row>
    <row r="96" spans="1:54" s="79" customFormat="1" ht="21.6" x14ac:dyDescent="0.25">
      <c r="A96" s="78"/>
      <c r="B96" s="84"/>
      <c r="C96" s="103"/>
      <c r="D96" s="7" t="s">
        <v>109</v>
      </c>
      <c r="E96" s="104"/>
      <c r="F96" s="29"/>
      <c r="G96" s="30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76"/>
      <c r="AI96" s="76"/>
      <c r="AJ96" s="76"/>
      <c r="AK96" s="76"/>
      <c r="AL96" s="76"/>
      <c r="AM96" s="76"/>
      <c r="AN96" s="76"/>
      <c r="AO96" s="76"/>
      <c r="AP96" s="76"/>
      <c r="AQ96" s="76"/>
      <c r="AR96" s="76"/>
      <c r="AS96" s="76"/>
      <c r="AT96" s="76"/>
      <c r="AU96" s="76"/>
      <c r="AV96" s="76"/>
      <c r="AW96" s="76"/>
      <c r="AX96" s="76"/>
      <c r="AY96" s="76"/>
      <c r="AZ96" s="76"/>
      <c r="BA96" s="76"/>
      <c r="BB96" s="76"/>
    </row>
    <row r="97" spans="1:54" s="79" customFormat="1" ht="21.6" x14ac:dyDescent="0.25">
      <c r="A97" s="78"/>
      <c r="B97" s="84"/>
      <c r="C97" s="94"/>
      <c r="D97" s="27"/>
      <c r="E97" s="104"/>
      <c r="F97" s="30"/>
      <c r="G97" s="30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6"/>
      <c r="AK97" s="76"/>
      <c r="AL97" s="76"/>
      <c r="AM97" s="76"/>
      <c r="AN97" s="76"/>
      <c r="AO97" s="76"/>
      <c r="AP97" s="76"/>
      <c r="AQ97" s="76"/>
      <c r="AR97" s="76"/>
      <c r="AS97" s="76"/>
      <c r="AT97" s="76"/>
      <c r="AU97" s="76"/>
      <c r="AV97" s="76"/>
      <c r="AW97" s="76"/>
      <c r="AX97" s="76"/>
      <c r="AY97" s="76"/>
      <c r="AZ97" s="76"/>
      <c r="BA97" s="76"/>
      <c r="BB97" s="76"/>
    </row>
    <row r="98" spans="1:54" s="79" customFormat="1" ht="21.6" x14ac:dyDescent="0.25">
      <c r="A98" s="78"/>
      <c r="B98" s="84"/>
      <c r="C98" s="103">
        <v>31</v>
      </c>
      <c r="D98" s="7" t="s">
        <v>110</v>
      </c>
      <c r="E98" s="104"/>
      <c r="F98" s="29"/>
      <c r="G98" s="30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  <c r="AR98" s="76"/>
      <c r="AS98" s="76"/>
      <c r="AT98" s="76"/>
      <c r="AU98" s="76"/>
      <c r="AV98" s="76"/>
      <c r="AW98" s="76"/>
      <c r="AX98" s="76"/>
      <c r="AY98" s="76"/>
      <c r="AZ98" s="76"/>
      <c r="BA98" s="76"/>
      <c r="BB98" s="76"/>
    </row>
    <row r="99" spans="1:54" s="79" customFormat="1" ht="21.6" x14ac:dyDescent="0.25">
      <c r="A99" s="78"/>
      <c r="B99" s="84"/>
      <c r="C99" s="103"/>
      <c r="D99" s="7" t="s">
        <v>111</v>
      </c>
      <c r="E99" s="104"/>
      <c r="F99" s="29"/>
      <c r="G99" s="30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  <c r="AO99" s="76"/>
      <c r="AP99" s="76"/>
      <c r="AQ99" s="76"/>
      <c r="AR99" s="76"/>
      <c r="AS99" s="76"/>
      <c r="AT99" s="76"/>
      <c r="AU99" s="76"/>
      <c r="AV99" s="76"/>
      <c r="AW99" s="76"/>
      <c r="AX99" s="76"/>
      <c r="AY99" s="76"/>
      <c r="AZ99" s="76"/>
      <c r="BA99" s="76"/>
      <c r="BB99" s="76"/>
    </row>
    <row r="100" spans="1:54" s="79" customFormat="1" ht="21.6" x14ac:dyDescent="0.25">
      <c r="A100" s="78"/>
      <c r="B100" s="84"/>
      <c r="C100" s="94"/>
      <c r="D100" s="27"/>
      <c r="E100" s="104"/>
      <c r="F100" s="30"/>
      <c r="G100" s="30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  <c r="AO100" s="76"/>
      <c r="AP100" s="76"/>
      <c r="AQ100" s="76"/>
      <c r="AR100" s="76"/>
      <c r="AS100" s="76"/>
      <c r="AT100" s="76"/>
      <c r="AU100" s="76"/>
      <c r="AV100" s="76"/>
      <c r="AW100" s="76"/>
      <c r="AX100" s="76"/>
      <c r="AY100" s="76"/>
      <c r="AZ100" s="76"/>
      <c r="BA100" s="76"/>
      <c r="BB100" s="76"/>
    </row>
    <row r="101" spans="1:54" s="79" customFormat="1" ht="21.6" x14ac:dyDescent="0.25">
      <c r="A101" s="78"/>
      <c r="B101" s="84"/>
      <c r="C101" s="103">
        <v>32</v>
      </c>
      <c r="D101" s="7" t="s">
        <v>112</v>
      </c>
      <c r="E101" s="104"/>
      <c r="F101" s="29"/>
      <c r="G101" s="30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  <c r="AO101" s="76"/>
      <c r="AP101" s="76"/>
      <c r="AQ101" s="76"/>
      <c r="AR101" s="76"/>
      <c r="AS101" s="76"/>
      <c r="AT101" s="76"/>
      <c r="AU101" s="76"/>
      <c r="AV101" s="76"/>
      <c r="AW101" s="76"/>
      <c r="AX101" s="76"/>
      <c r="AY101" s="76"/>
      <c r="AZ101" s="76"/>
      <c r="BA101" s="76"/>
      <c r="BB101" s="76"/>
    </row>
    <row r="102" spans="1:54" s="79" customFormat="1" ht="21.6" x14ac:dyDescent="0.25">
      <c r="A102" s="78"/>
      <c r="B102" s="84"/>
      <c r="C102" s="103"/>
      <c r="D102" s="7" t="s">
        <v>113</v>
      </c>
      <c r="E102" s="104"/>
      <c r="F102" s="29"/>
      <c r="G102" s="30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  <c r="AP102" s="76"/>
      <c r="AQ102" s="76"/>
      <c r="AR102" s="76"/>
      <c r="AS102" s="76"/>
      <c r="AT102" s="76"/>
      <c r="AU102" s="76"/>
      <c r="AV102" s="76"/>
      <c r="AW102" s="76"/>
      <c r="AX102" s="76"/>
      <c r="AY102" s="76"/>
      <c r="AZ102" s="76"/>
      <c r="BA102" s="76"/>
      <c r="BB102" s="76"/>
    </row>
    <row r="103" spans="1:54" s="79" customFormat="1" ht="21.6" x14ac:dyDescent="0.25">
      <c r="A103" s="78"/>
      <c r="B103" s="84"/>
      <c r="C103" s="94"/>
      <c r="D103" s="27"/>
      <c r="E103" s="104"/>
      <c r="F103" s="30"/>
      <c r="G103" s="30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6"/>
      <c r="AK103" s="76"/>
      <c r="AL103" s="76"/>
      <c r="AM103" s="76"/>
      <c r="AN103" s="76"/>
      <c r="AO103" s="76"/>
      <c r="AP103" s="76"/>
      <c r="AQ103" s="76"/>
      <c r="AR103" s="76"/>
      <c r="AS103" s="76"/>
      <c r="AT103" s="76"/>
      <c r="AU103" s="76"/>
      <c r="AV103" s="76"/>
      <c r="AW103" s="76"/>
      <c r="AX103" s="76"/>
      <c r="AY103" s="76"/>
      <c r="AZ103" s="76"/>
      <c r="BA103" s="76"/>
      <c r="BB103" s="76"/>
    </row>
    <row r="104" spans="1:54" s="79" customFormat="1" ht="21.6" x14ac:dyDescent="0.25">
      <c r="A104" s="78"/>
      <c r="B104" s="84"/>
      <c r="C104" s="103">
        <v>33</v>
      </c>
      <c r="D104" s="7" t="s">
        <v>114</v>
      </c>
      <c r="E104" s="104"/>
      <c r="F104" s="29"/>
      <c r="G104" s="30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  <c r="AP104" s="76"/>
      <c r="AQ104" s="76"/>
      <c r="AR104" s="76"/>
      <c r="AS104" s="76"/>
      <c r="AT104" s="76"/>
      <c r="AU104" s="76"/>
      <c r="AV104" s="76"/>
      <c r="AW104" s="76"/>
      <c r="AX104" s="76"/>
      <c r="AY104" s="76"/>
      <c r="AZ104" s="76"/>
      <c r="BA104" s="76"/>
      <c r="BB104" s="76"/>
    </row>
    <row r="105" spans="1:54" s="79" customFormat="1" ht="21.6" x14ac:dyDescent="0.25">
      <c r="A105" s="78"/>
      <c r="B105" s="84"/>
      <c r="C105" s="103"/>
      <c r="D105" s="7" t="s">
        <v>115</v>
      </c>
      <c r="E105" s="104"/>
      <c r="F105" s="29"/>
      <c r="G105" s="30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76"/>
      <c r="AL105" s="76"/>
      <c r="AM105" s="76"/>
      <c r="AN105" s="76"/>
      <c r="AO105" s="76"/>
      <c r="AP105" s="76"/>
      <c r="AQ105" s="76"/>
      <c r="AR105" s="76"/>
      <c r="AS105" s="76"/>
      <c r="AT105" s="76"/>
      <c r="AU105" s="76"/>
      <c r="AV105" s="76"/>
      <c r="AW105" s="76"/>
      <c r="AX105" s="76"/>
      <c r="AY105" s="76"/>
      <c r="AZ105" s="76"/>
      <c r="BA105" s="76"/>
      <c r="BB105" s="76"/>
    </row>
    <row r="106" spans="1:54" s="79" customFormat="1" ht="21.6" x14ac:dyDescent="0.25">
      <c r="A106" s="78"/>
      <c r="B106" s="84"/>
      <c r="C106" s="94"/>
      <c r="D106" s="27"/>
      <c r="E106" s="104"/>
      <c r="F106" s="30"/>
      <c r="G106" s="30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6"/>
      <c r="AL106" s="76"/>
      <c r="AM106" s="76"/>
      <c r="AN106" s="76"/>
      <c r="AO106" s="76"/>
      <c r="AP106" s="76"/>
      <c r="AQ106" s="76"/>
      <c r="AR106" s="76"/>
      <c r="AS106" s="76"/>
      <c r="AT106" s="76"/>
      <c r="AU106" s="76"/>
      <c r="AV106" s="76"/>
      <c r="AW106" s="76"/>
      <c r="AX106" s="76"/>
      <c r="AY106" s="76"/>
      <c r="AZ106" s="76"/>
      <c r="BA106" s="76"/>
      <c r="BB106" s="76"/>
    </row>
    <row r="107" spans="1:54" s="79" customFormat="1" ht="21.6" x14ac:dyDescent="0.25">
      <c r="A107" s="78"/>
      <c r="B107" s="84"/>
      <c r="C107" s="103">
        <v>34</v>
      </c>
      <c r="D107" s="7" t="s">
        <v>116</v>
      </c>
      <c r="E107" s="104"/>
      <c r="F107" s="29"/>
      <c r="G107" s="30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/>
      <c r="AL107" s="76"/>
      <c r="AM107" s="76"/>
      <c r="AN107" s="76"/>
      <c r="AO107" s="76"/>
      <c r="AP107" s="76"/>
      <c r="AQ107" s="76"/>
      <c r="AR107" s="76"/>
      <c r="AS107" s="76"/>
      <c r="AT107" s="76"/>
      <c r="AU107" s="76"/>
      <c r="AV107" s="76"/>
      <c r="AW107" s="76"/>
      <c r="AX107" s="76"/>
      <c r="AY107" s="76"/>
      <c r="AZ107" s="76"/>
      <c r="BA107" s="76"/>
      <c r="BB107" s="76"/>
    </row>
    <row r="108" spans="1:54" s="79" customFormat="1" ht="21.6" x14ac:dyDescent="0.25">
      <c r="A108" s="78"/>
      <c r="B108" s="84"/>
      <c r="C108" s="103"/>
      <c r="D108" s="7" t="s">
        <v>117</v>
      </c>
      <c r="E108" s="104"/>
      <c r="F108" s="29"/>
      <c r="G108" s="30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  <c r="AF108" s="76"/>
      <c r="AG108" s="76"/>
      <c r="AH108" s="76"/>
      <c r="AI108" s="76"/>
      <c r="AJ108" s="76"/>
      <c r="AK108" s="76"/>
      <c r="AL108" s="76"/>
      <c r="AM108" s="76"/>
      <c r="AN108" s="76"/>
      <c r="AO108" s="76"/>
      <c r="AP108" s="76"/>
      <c r="AQ108" s="76"/>
      <c r="AR108" s="76"/>
      <c r="AS108" s="76"/>
      <c r="AT108" s="76"/>
      <c r="AU108" s="76"/>
      <c r="AV108" s="76"/>
      <c r="AW108" s="76"/>
      <c r="AX108" s="76"/>
      <c r="AY108" s="76"/>
      <c r="AZ108" s="76"/>
      <c r="BA108" s="76"/>
      <c r="BB108" s="76"/>
    </row>
    <row r="109" spans="1:54" s="79" customFormat="1" ht="21.6" x14ac:dyDescent="0.25">
      <c r="A109" s="78"/>
      <c r="B109" s="84"/>
      <c r="C109" s="94"/>
      <c r="D109" s="27"/>
      <c r="E109" s="104"/>
      <c r="F109" s="30"/>
      <c r="G109" s="30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  <c r="AF109" s="76"/>
      <c r="AG109" s="76"/>
      <c r="AH109" s="76"/>
      <c r="AI109" s="76"/>
      <c r="AJ109" s="76"/>
      <c r="AK109" s="76"/>
      <c r="AL109" s="76"/>
      <c r="AM109" s="76"/>
      <c r="AN109" s="76"/>
      <c r="AO109" s="76"/>
      <c r="AP109" s="76"/>
      <c r="AQ109" s="76"/>
      <c r="AR109" s="76"/>
      <c r="AS109" s="76"/>
      <c r="AT109" s="76"/>
      <c r="AU109" s="76"/>
      <c r="AV109" s="76"/>
      <c r="AW109" s="76"/>
      <c r="AX109" s="76"/>
      <c r="AY109" s="76"/>
      <c r="AZ109" s="76"/>
      <c r="BA109" s="76"/>
      <c r="BB109" s="76"/>
    </row>
    <row r="110" spans="1:54" s="79" customFormat="1" ht="21.6" x14ac:dyDescent="0.25">
      <c r="A110" s="78"/>
      <c r="B110" s="84"/>
      <c r="C110" s="103">
        <v>35</v>
      </c>
      <c r="D110" s="7" t="s">
        <v>118</v>
      </c>
      <c r="E110" s="104"/>
      <c r="F110" s="29"/>
      <c r="G110" s="30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  <c r="AF110" s="76"/>
      <c r="AG110" s="76"/>
      <c r="AH110" s="76"/>
      <c r="AI110" s="76"/>
      <c r="AJ110" s="76"/>
      <c r="AK110" s="76"/>
      <c r="AL110" s="76"/>
      <c r="AM110" s="76"/>
      <c r="AN110" s="76"/>
      <c r="AO110" s="76"/>
      <c r="AP110" s="76"/>
      <c r="AQ110" s="76"/>
      <c r="AR110" s="76"/>
      <c r="AS110" s="76"/>
      <c r="AT110" s="76"/>
      <c r="AU110" s="76"/>
      <c r="AV110" s="76"/>
      <c r="AW110" s="76"/>
      <c r="AX110" s="76"/>
      <c r="AY110" s="76"/>
      <c r="AZ110" s="76"/>
      <c r="BA110" s="76"/>
      <c r="BB110" s="76"/>
    </row>
    <row r="111" spans="1:54" s="79" customFormat="1" ht="21.6" x14ac:dyDescent="0.25">
      <c r="A111" s="78"/>
      <c r="B111" s="84"/>
      <c r="C111" s="103"/>
      <c r="D111" s="7" t="s">
        <v>119</v>
      </c>
      <c r="E111" s="104"/>
      <c r="F111" s="29"/>
      <c r="G111" s="30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  <c r="AE111" s="76"/>
      <c r="AF111" s="76"/>
      <c r="AG111" s="76"/>
      <c r="AH111" s="76"/>
      <c r="AI111" s="76"/>
      <c r="AJ111" s="76"/>
      <c r="AK111" s="76"/>
      <c r="AL111" s="76"/>
      <c r="AM111" s="76"/>
      <c r="AN111" s="76"/>
      <c r="AO111" s="76"/>
      <c r="AP111" s="76"/>
      <c r="AQ111" s="76"/>
      <c r="AR111" s="76"/>
      <c r="AS111" s="76"/>
      <c r="AT111" s="76"/>
      <c r="AU111" s="76"/>
      <c r="AV111" s="76"/>
      <c r="AW111" s="76"/>
      <c r="AX111" s="76"/>
      <c r="AY111" s="76"/>
      <c r="AZ111" s="76"/>
      <c r="BA111" s="76"/>
      <c r="BB111" s="76"/>
    </row>
    <row r="112" spans="1:54" s="79" customFormat="1" ht="21.6" x14ac:dyDescent="0.25">
      <c r="A112" s="78"/>
      <c r="B112" s="84"/>
      <c r="C112" s="94"/>
      <c r="D112" s="27"/>
      <c r="E112" s="104"/>
      <c r="F112" s="30"/>
      <c r="G112" s="30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  <c r="AF112" s="76"/>
      <c r="AG112" s="76"/>
      <c r="AH112" s="76"/>
      <c r="AI112" s="76"/>
      <c r="AJ112" s="76"/>
      <c r="AK112" s="76"/>
      <c r="AL112" s="76"/>
      <c r="AM112" s="76"/>
      <c r="AN112" s="76"/>
      <c r="AO112" s="76"/>
      <c r="AP112" s="76"/>
      <c r="AQ112" s="76"/>
      <c r="AR112" s="76"/>
      <c r="AS112" s="76"/>
      <c r="AT112" s="76"/>
      <c r="AU112" s="76"/>
      <c r="AV112" s="76"/>
      <c r="AW112" s="76"/>
      <c r="AX112" s="76"/>
      <c r="AY112" s="76"/>
      <c r="AZ112" s="76"/>
      <c r="BA112" s="76"/>
      <c r="BB112" s="76"/>
    </row>
    <row r="113" spans="1:54" s="79" customFormat="1" ht="21.6" x14ac:dyDescent="0.25">
      <c r="A113" s="78"/>
      <c r="B113" s="84"/>
      <c r="C113" s="103">
        <v>36</v>
      </c>
      <c r="D113" s="7" t="s">
        <v>120</v>
      </c>
      <c r="E113" s="104"/>
      <c r="F113" s="29"/>
      <c r="G113" s="30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76"/>
      <c r="AH113" s="76"/>
      <c r="AI113" s="76"/>
      <c r="AJ113" s="76"/>
      <c r="AK113" s="76"/>
      <c r="AL113" s="76"/>
      <c r="AM113" s="76"/>
      <c r="AN113" s="76"/>
      <c r="AO113" s="76"/>
      <c r="AP113" s="76"/>
      <c r="AQ113" s="76"/>
      <c r="AR113" s="76"/>
      <c r="AS113" s="76"/>
      <c r="AT113" s="76"/>
      <c r="AU113" s="76"/>
      <c r="AV113" s="76"/>
      <c r="AW113" s="76"/>
      <c r="AX113" s="76"/>
      <c r="AY113" s="76"/>
      <c r="AZ113" s="76"/>
      <c r="BA113" s="76"/>
      <c r="BB113" s="76"/>
    </row>
    <row r="114" spans="1:54" s="79" customFormat="1" ht="21.6" x14ac:dyDescent="0.25">
      <c r="A114" s="78"/>
      <c r="B114" s="84"/>
      <c r="C114" s="103"/>
      <c r="D114" s="7" t="s">
        <v>121</v>
      </c>
      <c r="E114" s="104"/>
      <c r="F114" s="29"/>
      <c r="G114" s="30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  <c r="AG114" s="76"/>
      <c r="AH114" s="76"/>
      <c r="AI114" s="76"/>
      <c r="AJ114" s="76"/>
      <c r="AK114" s="76"/>
      <c r="AL114" s="76"/>
      <c r="AM114" s="76"/>
      <c r="AN114" s="76"/>
      <c r="AO114" s="76"/>
      <c r="AP114" s="76"/>
      <c r="AQ114" s="76"/>
      <c r="AR114" s="76"/>
      <c r="AS114" s="76"/>
      <c r="AT114" s="76"/>
      <c r="AU114" s="76"/>
      <c r="AV114" s="76"/>
      <c r="AW114" s="76"/>
      <c r="AX114" s="76"/>
      <c r="AY114" s="76"/>
      <c r="AZ114" s="76"/>
      <c r="BA114" s="76"/>
      <c r="BB114" s="76"/>
    </row>
    <row r="115" spans="1:54" s="79" customFormat="1" ht="21.6" x14ac:dyDescent="0.25">
      <c r="A115" s="78"/>
      <c r="B115" s="84"/>
      <c r="C115" s="94"/>
      <c r="D115" s="27"/>
      <c r="E115" s="104"/>
      <c r="F115" s="30"/>
      <c r="G115" s="30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  <c r="AG115" s="76"/>
      <c r="AH115" s="76"/>
      <c r="AI115" s="76"/>
      <c r="AJ115" s="76"/>
      <c r="AK115" s="76"/>
      <c r="AL115" s="76"/>
      <c r="AM115" s="76"/>
      <c r="AN115" s="76"/>
      <c r="AO115" s="76"/>
      <c r="AP115" s="76"/>
      <c r="AQ115" s="76"/>
      <c r="AR115" s="76"/>
      <c r="AS115" s="76"/>
      <c r="AT115" s="76"/>
      <c r="AU115" s="76"/>
      <c r="AV115" s="76"/>
      <c r="AW115" s="76"/>
      <c r="AX115" s="76"/>
      <c r="AY115" s="76"/>
      <c r="AZ115" s="76"/>
      <c r="BA115" s="76"/>
      <c r="BB115" s="76"/>
    </row>
    <row r="116" spans="1:54" s="79" customFormat="1" ht="21.6" x14ac:dyDescent="0.25">
      <c r="A116" s="78"/>
      <c r="B116" s="84"/>
      <c r="C116" s="103">
        <v>37</v>
      </c>
      <c r="D116" s="7" t="s">
        <v>122</v>
      </c>
      <c r="E116" s="104"/>
      <c r="F116" s="29"/>
      <c r="G116" s="30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  <c r="AH116" s="76"/>
      <c r="AI116" s="76"/>
      <c r="AJ116" s="76"/>
      <c r="AK116" s="76"/>
      <c r="AL116" s="76"/>
      <c r="AM116" s="76"/>
      <c r="AN116" s="76"/>
      <c r="AO116" s="76"/>
      <c r="AP116" s="76"/>
      <c r="AQ116" s="76"/>
      <c r="AR116" s="76"/>
      <c r="AS116" s="76"/>
      <c r="AT116" s="76"/>
      <c r="AU116" s="76"/>
      <c r="AV116" s="76"/>
      <c r="AW116" s="76"/>
      <c r="AX116" s="76"/>
      <c r="AY116" s="76"/>
      <c r="AZ116" s="76"/>
      <c r="BA116" s="76"/>
      <c r="BB116" s="76"/>
    </row>
    <row r="117" spans="1:54" s="79" customFormat="1" ht="21.6" x14ac:dyDescent="0.25">
      <c r="A117" s="78"/>
      <c r="B117" s="84"/>
      <c r="C117" s="103"/>
      <c r="D117" s="7" t="s">
        <v>123</v>
      </c>
      <c r="E117" s="104"/>
      <c r="F117" s="29"/>
      <c r="G117" s="30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  <c r="AH117" s="76"/>
      <c r="AI117" s="76"/>
      <c r="AJ117" s="76"/>
      <c r="AK117" s="76"/>
      <c r="AL117" s="76"/>
      <c r="AM117" s="76"/>
      <c r="AN117" s="76"/>
      <c r="AO117" s="76"/>
      <c r="AP117" s="76"/>
      <c r="AQ117" s="76"/>
      <c r="AR117" s="76"/>
      <c r="AS117" s="76"/>
      <c r="AT117" s="76"/>
      <c r="AU117" s="76"/>
      <c r="AV117" s="76"/>
      <c r="AW117" s="76"/>
      <c r="AX117" s="76"/>
      <c r="AY117" s="76"/>
      <c r="AZ117" s="76"/>
      <c r="BA117" s="76"/>
      <c r="BB117" s="76"/>
    </row>
    <row r="118" spans="1:54" s="79" customFormat="1" ht="21.6" x14ac:dyDescent="0.25">
      <c r="A118" s="78"/>
      <c r="B118" s="84"/>
      <c r="C118" s="94"/>
      <c r="D118" s="27"/>
      <c r="E118" s="104"/>
      <c r="F118" s="30"/>
      <c r="G118" s="30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  <c r="AG118" s="76"/>
      <c r="AH118" s="76"/>
      <c r="AI118" s="76"/>
      <c r="AJ118" s="76"/>
      <c r="AK118" s="76"/>
      <c r="AL118" s="76"/>
      <c r="AM118" s="76"/>
      <c r="AN118" s="76"/>
      <c r="AO118" s="76"/>
      <c r="AP118" s="76"/>
      <c r="AQ118" s="76"/>
      <c r="AR118" s="76"/>
      <c r="AS118" s="76"/>
      <c r="AT118" s="76"/>
      <c r="AU118" s="76"/>
      <c r="AV118" s="76"/>
      <c r="AW118" s="76"/>
      <c r="AX118" s="76"/>
      <c r="AY118" s="76"/>
      <c r="AZ118" s="76"/>
      <c r="BA118" s="76"/>
      <c r="BB118" s="76"/>
    </row>
    <row r="119" spans="1:54" s="79" customFormat="1" ht="21.6" x14ac:dyDescent="0.25">
      <c r="A119" s="78"/>
      <c r="B119" s="84"/>
      <c r="C119" s="103">
        <v>38</v>
      </c>
      <c r="D119" s="7" t="s">
        <v>124</v>
      </c>
      <c r="E119" s="104"/>
      <c r="F119" s="29"/>
      <c r="G119" s="30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76"/>
      <c r="T119" s="76"/>
      <c r="U119" s="76"/>
      <c r="V119" s="76"/>
      <c r="W119" s="76"/>
      <c r="X119" s="76"/>
      <c r="Y119" s="76"/>
      <c r="Z119" s="76"/>
      <c r="AA119" s="76"/>
      <c r="AB119" s="76"/>
      <c r="AC119" s="76"/>
      <c r="AD119" s="76"/>
      <c r="AE119" s="76"/>
      <c r="AF119" s="76"/>
      <c r="AG119" s="76"/>
      <c r="AH119" s="76"/>
      <c r="AI119" s="76"/>
      <c r="AJ119" s="76"/>
      <c r="AK119" s="76"/>
      <c r="AL119" s="76"/>
      <c r="AM119" s="76"/>
      <c r="AN119" s="76"/>
      <c r="AO119" s="76"/>
      <c r="AP119" s="76"/>
      <c r="AQ119" s="76"/>
      <c r="AR119" s="76"/>
      <c r="AS119" s="76"/>
      <c r="AT119" s="76"/>
      <c r="AU119" s="76"/>
      <c r="AV119" s="76"/>
      <c r="AW119" s="76"/>
      <c r="AX119" s="76"/>
      <c r="AY119" s="76"/>
      <c r="AZ119" s="76"/>
      <c r="BA119" s="76"/>
      <c r="BB119" s="76"/>
    </row>
    <row r="120" spans="1:54" s="79" customFormat="1" ht="21.6" x14ac:dyDescent="0.25">
      <c r="A120" s="78"/>
      <c r="B120" s="84"/>
      <c r="C120" s="103"/>
      <c r="D120" s="7" t="s">
        <v>125</v>
      </c>
      <c r="E120" s="104"/>
      <c r="F120" s="29"/>
      <c r="G120" s="30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  <c r="AG120" s="76"/>
      <c r="AH120" s="76"/>
      <c r="AI120" s="76"/>
      <c r="AJ120" s="76"/>
      <c r="AK120" s="76"/>
      <c r="AL120" s="76"/>
      <c r="AM120" s="76"/>
      <c r="AN120" s="76"/>
      <c r="AO120" s="76"/>
      <c r="AP120" s="76"/>
      <c r="AQ120" s="76"/>
      <c r="AR120" s="76"/>
      <c r="AS120" s="76"/>
      <c r="AT120" s="76"/>
      <c r="AU120" s="76"/>
      <c r="AV120" s="76"/>
      <c r="AW120" s="76"/>
      <c r="AX120" s="76"/>
      <c r="AY120" s="76"/>
      <c r="AZ120" s="76"/>
      <c r="BA120" s="76"/>
      <c r="BB120" s="76"/>
    </row>
    <row r="121" spans="1:54" s="79" customFormat="1" ht="21.6" x14ac:dyDescent="0.25">
      <c r="A121" s="78"/>
      <c r="B121" s="84"/>
      <c r="C121" s="94"/>
      <c r="D121" s="27"/>
      <c r="E121" s="104"/>
      <c r="F121" s="30"/>
      <c r="G121" s="30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  <c r="AC121" s="76"/>
      <c r="AD121" s="76"/>
      <c r="AE121" s="76"/>
      <c r="AF121" s="76"/>
      <c r="AG121" s="76"/>
      <c r="AH121" s="76"/>
      <c r="AI121" s="76"/>
      <c r="AJ121" s="76"/>
      <c r="AK121" s="76"/>
      <c r="AL121" s="76"/>
      <c r="AM121" s="76"/>
      <c r="AN121" s="76"/>
      <c r="AO121" s="76"/>
      <c r="AP121" s="76"/>
      <c r="AQ121" s="76"/>
      <c r="AR121" s="76"/>
      <c r="AS121" s="76"/>
      <c r="AT121" s="76"/>
      <c r="AU121" s="76"/>
      <c r="AV121" s="76"/>
      <c r="AW121" s="76"/>
      <c r="AX121" s="76"/>
      <c r="AY121" s="76"/>
      <c r="AZ121" s="76"/>
      <c r="BA121" s="76"/>
      <c r="BB121" s="76"/>
    </row>
    <row r="122" spans="1:54" s="79" customFormat="1" ht="21.6" x14ac:dyDescent="0.25">
      <c r="A122" s="78"/>
      <c r="B122" s="84"/>
      <c r="C122" s="103">
        <v>39</v>
      </c>
      <c r="D122" s="7" t="s">
        <v>126</v>
      </c>
      <c r="E122" s="104"/>
      <c r="F122" s="72"/>
      <c r="G122" s="30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  <c r="AE122" s="76"/>
      <c r="AF122" s="76"/>
      <c r="AG122" s="76"/>
      <c r="AH122" s="76"/>
      <c r="AI122" s="76"/>
      <c r="AJ122" s="76"/>
      <c r="AK122" s="76"/>
      <c r="AL122" s="76"/>
      <c r="AM122" s="76"/>
      <c r="AN122" s="76"/>
      <c r="AO122" s="76"/>
      <c r="AP122" s="76"/>
      <c r="AQ122" s="76"/>
      <c r="AR122" s="76"/>
      <c r="AS122" s="76"/>
      <c r="AT122" s="76"/>
      <c r="AU122" s="76"/>
      <c r="AV122" s="76"/>
      <c r="AW122" s="76"/>
      <c r="AX122" s="76"/>
      <c r="AY122" s="76"/>
      <c r="AZ122" s="76"/>
      <c r="BA122" s="76"/>
      <c r="BB122" s="76"/>
    </row>
    <row r="123" spans="1:54" s="79" customFormat="1" ht="21.6" x14ac:dyDescent="0.25">
      <c r="A123" s="78"/>
      <c r="B123" s="84"/>
      <c r="C123" s="103"/>
      <c r="D123" s="7" t="s">
        <v>127</v>
      </c>
      <c r="E123" s="104"/>
      <c r="F123" s="72"/>
      <c r="G123" s="30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  <c r="AE123" s="76"/>
      <c r="AF123" s="76"/>
      <c r="AG123" s="76"/>
      <c r="AH123" s="76"/>
      <c r="AI123" s="76"/>
      <c r="AJ123" s="76"/>
      <c r="AK123" s="76"/>
      <c r="AL123" s="76"/>
      <c r="AM123" s="76"/>
      <c r="AN123" s="76"/>
      <c r="AO123" s="76"/>
      <c r="AP123" s="76"/>
      <c r="AQ123" s="76"/>
      <c r="AR123" s="76"/>
      <c r="AS123" s="76"/>
      <c r="AT123" s="76"/>
      <c r="AU123" s="76"/>
      <c r="AV123" s="76"/>
      <c r="AW123" s="76"/>
      <c r="AX123" s="76"/>
      <c r="AY123" s="76"/>
      <c r="AZ123" s="76"/>
      <c r="BA123" s="76"/>
      <c r="BB123" s="76"/>
    </row>
    <row r="124" spans="1:54" s="79" customFormat="1" ht="21.6" x14ac:dyDescent="0.25">
      <c r="A124" s="78"/>
      <c r="B124" s="84"/>
      <c r="C124" s="94"/>
      <c r="D124" s="27"/>
      <c r="E124" s="104"/>
      <c r="F124" s="30"/>
      <c r="G124" s="30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  <c r="AE124" s="76"/>
      <c r="AF124" s="76"/>
      <c r="AG124" s="76"/>
      <c r="AH124" s="76"/>
      <c r="AI124" s="76"/>
      <c r="AJ124" s="76"/>
      <c r="AK124" s="76"/>
      <c r="AL124" s="76"/>
      <c r="AM124" s="76"/>
      <c r="AN124" s="76"/>
      <c r="AO124" s="76"/>
      <c r="AP124" s="76"/>
      <c r="AQ124" s="76"/>
      <c r="AR124" s="76"/>
      <c r="AS124" s="76"/>
      <c r="AT124" s="76"/>
      <c r="AU124" s="76"/>
      <c r="AV124" s="76"/>
      <c r="AW124" s="76"/>
      <c r="AX124" s="76"/>
      <c r="AY124" s="76"/>
      <c r="AZ124" s="76"/>
      <c r="BA124" s="76"/>
      <c r="BB124" s="76"/>
    </row>
    <row r="125" spans="1:54" s="79" customFormat="1" ht="21.6" x14ac:dyDescent="0.25">
      <c r="A125" s="78"/>
      <c r="B125" s="84"/>
      <c r="C125" s="103">
        <v>40</v>
      </c>
      <c r="D125" s="7" t="s">
        <v>128</v>
      </c>
      <c r="E125" s="104"/>
      <c r="F125" s="29"/>
      <c r="G125" s="30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  <c r="AF125" s="76"/>
      <c r="AG125" s="76"/>
      <c r="AH125" s="76"/>
      <c r="AI125" s="76"/>
      <c r="AJ125" s="76"/>
      <c r="AK125" s="76"/>
      <c r="AL125" s="76"/>
      <c r="AM125" s="76"/>
      <c r="AN125" s="76"/>
      <c r="AO125" s="76"/>
      <c r="AP125" s="76"/>
      <c r="AQ125" s="76"/>
      <c r="AR125" s="76"/>
      <c r="AS125" s="76"/>
      <c r="AT125" s="76"/>
      <c r="AU125" s="76"/>
      <c r="AV125" s="76"/>
      <c r="AW125" s="76"/>
      <c r="AX125" s="76"/>
      <c r="AY125" s="76"/>
      <c r="AZ125" s="76"/>
      <c r="BA125" s="76"/>
      <c r="BB125" s="76"/>
    </row>
    <row r="126" spans="1:54" s="81" customFormat="1" ht="21.6" x14ac:dyDescent="0.25">
      <c r="A126" s="80"/>
      <c r="B126" s="80"/>
      <c r="C126" s="103"/>
      <c r="D126" s="7" t="s">
        <v>129</v>
      </c>
      <c r="E126" s="104"/>
      <c r="F126" s="29"/>
      <c r="G126" s="30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  <c r="AE126" s="76"/>
      <c r="AF126" s="76"/>
      <c r="AG126" s="76"/>
      <c r="AH126" s="76"/>
      <c r="AI126" s="76"/>
      <c r="AJ126" s="76"/>
      <c r="AK126" s="76"/>
      <c r="AL126" s="76"/>
      <c r="AM126" s="76"/>
      <c r="AN126" s="76"/>
      <c r="AO126" s="76"/>
      <c r="AP126" s="76"/>
      <c r="AQ126" s="76"/>
      <c r="AR126" s="76"/>
      <c r="AS126" s="76"/>
      <c r="AT126" s="76"/>
      <c r="AU126" s="76"/>
      <c r="AV126" s="76"/>
      <c r="AW126" s="76"/>
      <c r="AX126" s="76"/>
      <c r="AY126" s="76"/>
      <c r="AZ126" s="76"/>
      <c r="BA126" s="76"/>
      <c r="BB126" s="76"/>
    </row>
    <row r="127" spans="1:54" s="81" customFormat="1" ht="21.6" x14ac:dyDescent="0.25">
      <c r="A127" s="80"/>
      <c r="B127" s="80"/>
      <c r="C127" s="94"/>
      <c r="D127" s="27"/>
      <c r="E127" s="104"/>
      <c r="F127" s="30"/>
      <c r="G127" s="30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  <c r="AF127" s="76"/>
      <c r="AG127" s="76"/>
      <c r="AH127" s="76"/>
      <c r="AI127" s="76"/>
      <c r="AJ127" s="76"/>
      <c r="AK127" s="76"/>
      <c r="AL127" s="76"/>
      <c r="AM127" s="76"/>
      <c r="AN127" s="76"/>
      <c r="AO127" s="76"/>
      <c r="AP127" s="76"/>
      <c r="AQ127" s="76"/>
      <c r="AR127" s="76"/>
      <c r="AS127" s="76"/>
      <c r="AT127" s="76"/>
      <c r="AU127" s="76"/>
      <c r="AV127" s="76"/>
      <c r="AW127" s="76"/>
      <c r="AX127" s="76"/>
      <c r="AY127" s="76"/>
      <c r="AZ127" s="76"/>
      <c r="BA127" s="76"/>
      <c r="BB127" s="76"/>
    </row>
    <row r="128" spans="1:54" s="81" customFormat="1" ht="21.6" x14ac:dyDescent="0.25">
      <c r="A128" s="80"/>
      <c r="B128" s="80"/>
      <c r="C128" s="103">
        <v>41</v>
      </c>
      <c r="D128" s="7" t="s">
        <v>130</v>
      </c>
      <c r="E128" s="104"/>
      <c r="F128" s="29"/>
      <c r="G128" s="30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  <c r="AG128" s="76"/>
      <c r="AH128" s="76"/>
      <c r="AI128" s="76"/>
      <c r="AJ128" s="76"/>
      <c r="AK128" s="76"/>
      <c r="AL128" s="76"/>
      <c r="AM128" s="76"/>
      <c r="AN128" s="76"/>
      <c r="AO128" s="76"/>
      <c r="AP128" s="76"/>
      <c r="AQ128" s="76"/>
      <c r="AR128" s="76"/>
      <c r="AS128" s="76"/>
      <c r="AT128" s="76"/>
      <c r="AU128" s="76"/>
      <c r="AV128" s="76"/>
      <c r="AW128" s="76"/>
      <c r="AX128" s="76"/>
      <c r="AY128" s="76"/>
      <c r="AZ128" s="76"/>
      <c r="BA128" s="76"/>
      <c r="BB128" s="76"/>
    </row>
    <row r="129" spans="1:54" s="81" customFormat="1" ht="21.6" x14ac:dyDescent="0.25">
      <c r="A129" s="80"/>
      <c r="B129" s="80"/>
      <c r="C129" s="103"/>
      <c r="D129" s="7" t="s">
        <v>131</v>
      </c>
      <c r="E129" s="104"/>
      <c r="F129" s="29"/>
      <c r="G129" s="30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  <c r="AF129" s="76"/>
      <c r="AG129" s="76"/>
      <c r="AH129" s="76"/>
      <c r="AI129" s="76"/>
      <c r="AJ129" s="76"/>
      <c r="AK129" s="76"/>
      <c r="AL129" s="76"/>
      <c r="AM129" s="76"/>
      <c r="AN129" s="76"/>
      <c r="AO129" s="76"/>
      <c r="AP129" s="76"/>
      <c r="AQ129" s="76"/>
      <c r="AR129" s="76"/>
      <c r="AS129" s="76"/>
      <c r="AT129" s="76"/>
      <c r="AU129" s="76"/>
      <c r="AV129" s="76"/>
      <c r="AW129" s="76"/>
      <c r="AX129" s="76"/>
      <c r="AY129" s="76"/>
      <c r="AZ129" s="76"/>
      <c r="BA129" s="76"/>
      <c r="BB129" s="76"/>
    </row>
    <row r="130" spans="1:54" s="81" customFormat="1" ht="21.6" x14ac:dyDescent="0.25">
      <c r="A130" s="80"/>
      <c r="B130" s="80"/>
      <c r="C130" s="94"/>
      <c r="D130" s="27"/>
      <c r="E130" s="104"/>
      <c r="F130" s="30"/>
      <c r="G130" s="30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  <c r="AC130" s="76"/>
      <c r="AD130" s="76"/>
      <c r="AE130" s="76"/>
      <c r="AF130" s="76"/>
      <c r="AG130" s="76"/>
      <c r="AH130" s="76"/>
      <c r="AI130" s="76"/>
      <c r="AJ130" s="76"/>
      <c r="AK130" s="76"/>
      <c r="AL130" s="76"/>
      <c r="AM130" s="76"/>
      <c r="AN130" s="76"/>
      <c r="AO130" s="76"/>
      <c r="AP130" s="76"/>
      <c r="AQ130" s="76"/>
      <c r="AR130" s="76"/>
      <c r="AS130" s="76"/>
      <c r="AT130" s="76"/>
      <c r="AU130" s="76"/>
      <c r="AV130" s="76"/>
      <c r="AW130" s="76"/>
      <c r="AX130" s="76"/>
      <c r="AY130" s="76"/>
      <c r="AZ130" s="76"/>
      <c r="BA130" s="76"/>
      <c r="BB130" s="76"/>
    </row>
    <row r="131" spans="1:54" s="81" customFormat="1" ht="21.6" x14ac:dyDescent="0.25">
      <c r="A131" s="80"/>
      <c r="B131" s="80"/>
      <c r="C131" s="103">
        <v>42</v>
      </c>
      <c r="D131" s="7" t="s">
        <v>132</v>
      </c>
      <c r="E131" s="104"/>
      <c r="F131" s="29"/>
      <c r="G131" s="30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  <c r="AD131" s="76"/>
      <c r="AE131" s="76"/>
      <c r="AF131" s="76"/>
      <c r="AG131" s="76"/>
      <c r="AH131" s="76"/>
      <c r="AI131" s="76"/>
      <c r="AJ131" s="76"/>
      <c r="AK131" s="76"/>
      <c r="AL131" s="76"/>
      <c r="AM131" s="76"/>
      <c r="AN131" s="76"/>
      <c r="AO131" s="76"/>
      <c r="AP131" s="76"/>
      <c r="AQ131" s="76"/>
      <c r="AR131" s="76"/>
      <c r="AS131" s="76"/>
      <c r="AT131" s="76"/>
      <c r="AU131" s="76"/>
      <c r="AV131" s="76"/>
      <c r="AW131" s="76"/>
      <c r="AX131" s="76"/>
      <c r="AY131" s="76"/>
      <c r="AZ131" s="76"/>
      <c r="BA131" s="76"/>
      <c r="BB131" s="76"/>
    </row>
    <row r="132" spans="1:54" s="81" customFormat="1" ht="21.6" x14ac:dyDescent="0.25">
      <c r="A132" s="80"/>
      <c r="B132" s="80"/>
      <c r="C132" s="103"/>
      <c r="D132" s="7" t="s">
        <v>133</v>
      </c>
      <c r="E132" s="104"/>
      <c r="F132" s="29"/>
      <c r="G132" s="30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76"/>
      <c r="AE132" s="76"/>
      <c r="AF132" s="76"/>
      <c r="AG132" s="76"/>
      <c r="AH132" s="76"/>
      <c r="AI132" s="76"/>
      <c r="AJ132" s="76"/>
      <c r="AK132" s="76"/>
      <c r="AL132" s="76"/>
      <c r="AM132" s="76"/>
      <c r="AN132" s="76"/>
      <c r="AO132" s="76"/>
      <c r="AP132" s="76"/>
      <c r="AQ132" s="76"/>
      <c r="AR132" s="76"/>
      <c r="AS132" s="76"/>
      <c r="AT132" s="76"/>
      <c r="AU132" s="76"/>
      <c r="AV132" s="76"/>
      <c r="AW132" s="76"/>
      <c r="AX132" s="76"/>
      <c r="AY132" s="76"/>
      <c r="AZ132" s="76"/>
      <c r="BA132" s="76"/>
      <c r="BB132" s="76"/>
    </row>
    <row r="133" spans="1:54" s="81" customFormat="1" ht="21.6" x14ac:dyDescent="0.25">
      <c r="A133" s="80"/>
      <c r="B133" s="80"/>
      <c r="C133" s="94"/>
      <c r="D133" s="27"/>
      <c r="E133" s="104"/>
      <c r="F133" s="30"/>
      <c r="G133" s="30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  <c r="AF133" s="76"/>
      <c r="AG133" s="76"/>
      <c r="AH133" s="76"/>
      <c r="AI133" s="76"/>
      <c r="AJ133" s="76"/>
      <c r="AK133" s="76"/>
      <c r="AL133" s="76"/>
      <c r="AM133" s="76"/>
      <c r="AN133" s="76"/>
      <c r="AO133" s="76"/>
      <c r="AP133" s="76"/>
      <c r="AQ133" s="76"/>
      <c r="AR133" s="76"/>
      <c r="AS133" s="76"/>
      <c r="AT133" s="76"/>
      <c r="AU133" s="76"/>
      <c r="AV133" s="76"/>
      <c r="AW133" s="76"/>
      <c r="AX133" s="76"/>
      <c r="AY133" s="76"/>
      <c r="AZ133" s="76"/>
      <c r="BA133" s="76"/>
      <c r="BB133" s="76"/>
    </row>
    <row r="134" spans="1:54" s="81" customFormat="1" ht="21.6" x14ac:dyDescent="0.25">
      <c r="A134" s="80"/>
      <c r="B134" s="80"/>
      <c r="C134" s="103">
        <v>43</v>
      </c>
      <c r="D134" s="7" t="s">
        <v>134</v>
      </c>
      <c r="E134" s="104"/>
      <c r="F134" s="29"/>
      <c r="G134" s="30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  <c r="AF134" s="76"/>
      <c r="AG134" s="76"/>
      <c r="AH134" s="76"/>
      <c r="AI134" s="76"/>
      <c r="AJ134" s="76"/>
      <c r="AK134" s="76"/>
      <c r="AL134" s="76"/>
      <c r="AM134" s="76"/>
      <c r="AN134" s="76"/>
      <c r="AO134" s="76"/>
      <c r="AP134" s="76"/>
      <c r="AQ134" s="76"/>
      <c r="AR134" s="76"/>
      <c r="AS134" s="76"/>
      <c r="AT134" s="76"/>
      <c r="AU134" s="76"/>
      <c r="AV134" s="76"/>
      <c r="AW134" s="76"/>
      <c r="AX134" s="76"/>
      <c r="AY134" s="76"/>
      <c r="AZ134" s="76"/>
      <c r="BA134" s="76"/>
      <c r="BB134" s="76"/>
    </row>
    <row r="135" spans="1:54" s="81" customFormat="1" ht="21.6" x14ac:dyDescent="0.25">
      <c r="A135" s="80"/>
      <c r="B135" s="80"/>
      <c r="C135" s="103"/>
      <c r="D135" s="7" t="s">
        <v>135</v>
      </c>
      <c r="E135" s="104"/>
      <c r="F135" s="29"/>
      <c r="G135" s="30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  <c r="AG135" s="76"/>
      <c r="AH135" s="76"/>
      <c r="AI135" s="76"/>
      <c r="AJ135" s="76"/>
      <c r="AK135" s="76"/>
      <c r="AL135" s="76"/>
      <c r="AM135" s="76"/>
      <c r="AN135" s="76"/>
      <c r="AO135" s="76"/>
      <c r="AP135" s="76"/>
      <c r="AQ135" s="76"/>
      <c r="AR135" s="76"/>
      <c r="AS135" s="76"/>
      <c r="AT135" s="76"/>
      <c r="AU135" s="76"/>
      <c r="AV135" s="76"/>
      <c r="AW135" s="76"/>
      <c r="AX135" s="76"/>
      <c r="AY135" s="76"/>
      <c r="AZ135" s="76"/>
      <c r="BA135" s="76"/>
      <c r="BB135" s="76"/>
    </row>
    <row r="136" spans="1:54" s="81" customFormat="1" ht="21.6" x14ac:dyDescent="0.25">
      <c r="A136" s="80"/>
      <c r="B136" s="80"/>
      <c r="C136" s="94"/>
      <c r="D136" s="27"/>
      <c r="E136" s="104"/>
      <c r="F136" s="30"/>
      <c r="G136" s="30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  <c r="AF136" s="76"/>
      <c r="AG136" s="76"/>
      <c r="AH136" s="76"/>
      <c r="AI136" s="76"/>
      <c r="AJ136" s="76"/>
      <c r="AK136" s="76"/>
      <c r="AL136" s="76"/>
      <c r="AM136" s="76"/>
      <c r="AN136" s="76"/>
      <c r="AO136" s="76"/>
      <c r="AP136" s="76"/>
      <c r="AQ136" s="76"/>
      <c r="AR136" s="76"/>
      <c r="AS136" s="76"/>
      <c r="AT136" s="76"/>
      <c r="AU136" s="76"/>
      <c r="AV136" s="76"/>
      <c r="AW136" s="76"/>
      <c r="AX136" s="76"/>
      <c r="AY136" s="76"/>
      <c r="AZ136" s="76"/>
      <c r="BA136" s="76"/>
      <c r="BB136" s="76"/>
    </row>
    <row r="137" spans="1:54" s="81" customFormat="1" ht="21.6" x14ac:dyDescent="0.25">
      <c r="A137" s="80"/>
      <c r="B137" s="80"/>
      <c r="C137" s="103">
        <v>44</v>
      </c>
      <c r="D137" s="7" t="s">
        <v>136</v>
      </c>
      <c r="E137" s="104"/>
      <c r="F137" s="29"/>
      <c r="G137" s="30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  <c r="AF137" s="76"/>
      <c r="AG137" s="76"/>
      <c r="AH137" s="76"/>
      <c r="AI137" s="76"/>
      <c r="AJ137" s="76"/>
      <c r="AK137" s="76"/>
      <c r="AL137" s="76"/>
      <c r="AM137" s="76"/>
      <c r="AN137" s="76"/>
      <c r="AO137" s="76"/>
      <c r="AP137" s="76"/>
      <c r="AQ137" s="76"/>
      <c r="AR137" s="76"/>
      <c r="AS137" s="76"/>
      <c r="AT137" s="76"/>
      <c r="AU137" s="76"/>
      <c r="AV137" s="76"/>
      <c r="AW137" s="76"/>
      <c r="AX137" s="76"/>
      <c r="AY137" s="76"/>
      <c r="AZ137" s="76"/>
      <c r="BA137" s="76"/>
      <c r="BB137" s="76"/>
    </row>
    <row r="138" spans="1:54" s="81" customFormat="1" ht="21.6" x14ac:dyDescent="0.25">
      <c r="A138" s="80"/>
      <c r="B138" s="80"/>
      <c r="C138" s="103"/>
      <c r="D138" s="7" t="s">
        <v>137</v>
      </c>
      <c r="E138" s="104"/>
      <c r="F138" s="29"/>
      <c r="G138" s="30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  <c r="AE138" s="76"/>
      <c r="AF138" s="76"/>
      <c r="AG138" s="76"/>
      <c r="AH138" s="76"/>
      <c r="AI138" s="76"/>
      <c r="AJ138" s="76"/>
      <c r="AK138" s="76"/>
      <c r="AL138" s="76"/>
      <c r="AM138" s="76"/>
      <c r="AN138" s="76"/>
      <c r="AO138" s="76"/>
      <c r="AP138" s="76"/>
      <c r="AQ138" s="76"/>
      <c r="AR138" s="76"/>
      <c r="AS138" s="76"/>
      <c r="AT138" s="76"/>
      <c r="AU138" s="76"/>
      <c r="AV138" s="76"/>
      <c r="AW138" s="76"/>
      <c r="AX138" s="76"/>
      <c r="AY138" s="76"/>
      <c r="AZ138" s="76"/>
      <c r="BA138" s="76"/>
      <c r="BB138" s="76"/>
    </row>
    <row r="139" spans="1:54" s="81" customFormat="1" ht="21.6" x14ac:dyDescent="0.25">
      <c r="A139" s="80"/>
      <c r="B139" s="80"/>
      <c r="C139" s="94"/>
      <c r="D139" s="27"/>
      <c r="E139" s="104"/>
      <c r="F139" s="30"/>
      <c r="G139" s="30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  <c r="AF139" s="76"/>
      <c r="AG139" s="76"/>
      <c r="AH139" s="76"/>
      <c r="AI139" s="76"/>
      <c r="AJ139" s="76"/>
      <c r="AK139" s="76"/>
      <c r="AL139" s="76"/>
      <c r="AM139" s="76"/>
      <c r="AN139" s="76"/>
      <c r="AO139" s="76"/>
      <c r="AP139" s="76"/>
      <c r="AQ139" s="76"/>
      <c r="AR139" s="76"/>
      <c r="AS139" s="76"/>
      <c r="AT139" s="76"/>
      <c r="AU139" s="76"/>
      <c r="AV139" s="76"/>
      <c r="AW139" s="76"/>
      <c r="AX139" s="76"/>
      <c r="AY139" s="76"/>
      <c r="AZ139" s="76"/>
      <c r="BA139" s="76"/>
      <c r="BB139" s="76"/>
    </row>
    <row r="140" spans="1:54" s="81" customFormat="1" ht="21.6" x14ac:dyDescent="0.25">
      <c r="A140" s="80"/>
      <c r="B140" s="80"/>
      <c r="C140" s="103">
        <v>45</v>
      </c>
      <c r="D140" s="7" t="s">
        <v>138</v>
      </c>
      <c r="E140" s="104"/>
      <c r="F140" s="29"/>
      <c r="G140" s="30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  <c r="AH140" s="76"/>
      <c r="AI140" s="76"/>
      <c r="AJ140" s="76"/>
      <c r="AK140" s="76"/>
      <c r="AL140" s="76"/>
      <c r="AM140" s="76"/>
      <c r="AN140" s="76"/>
      <c r="AO140" s="76"/>
      <c r="AP140" s="76"/>
      <c r="AQ140" s="76"/>
      <c r="AR140" s="76"/>
      <c r="AS140" s="76"/>
      <c r="AT140" s="76"/>
      <c r="AU140" s="76"/>
      <c r="AV140" s="76"/>
      <c r="AW140" s="76"/>
      <c r="AX140" s="76"/>
      <c r="AY140" s="76"/>
      <c r="AZ140" s="76"/>
      <c r="BA140" s="76"/>
      <c r="BB140" s="76"/>
    </row>
    <row r="141" spans="1:54" s="81" customFormat="1" ht="21.6" x14ac:dyDescent="0.25">
      <c r="A141" s="80"/>
      <c r="B141" s="80"/>
      <c r="C141" s="103"/>
      <c r="D141" s="7" t="s">
        <v>139</v>
      </c>
      <c r="E141" s="104"/>
      <c r="F141" s="29"/>
      <c r="G141" s="30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  <c r="AF141" s="76"/>
      <c r="AG141" s="76"/>
      <c r="AH141" s="76"/>
      <c r="AI141" s="76"/>
      <c r="AJ141" s="76"/>
      <c r="AK141" s="76"/>
      <c r="AL141" s="76"/>
      <c r="AM141" s="76"/>
      <c r="AN141" s="76"/>
      <c r="AO141" s="76"/>
      <c r="AP141" s="76"/>
      <c r="AQ141" s="76"/>
      <c r="AR141" s="76"/>
      <c r="AS141" s="76"/>
      <c r="AT141" s="76"/>
      <c r="AU141" s="76"/>
      <c r="AV141" s="76"/>
      <c r="AW141" s="76"/>
      <c r="AX141" s="76"/>
      <c r="AY141" s="76"/>
      <c r="AZ141" s="76"/>
      <c r="BA141" s="76"/>
      <c r="BB141" s="76"/>
    </row>
    <row r="142" spans="1:54" s="81" customFormat="1" ht="21.6" x14ac:dyDescent="0.25">
      <c r="A142" s="80"/>
      <c r="B142" s="80"/>
      <c r="C142" s="94"/>
      <c r="D142" s="27"/>
      <c r="E142" s="104"/>
      <c r="F142" s="30"/>
      <c r="G142" s="30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  <c r="AE142" s="76"/>
      <c r="AF142" s="76"/>
      <c r="AG142" s="76"/>
      <c r="AH142" s="76"/>
      <c r="AI142" s="76"/>
      <c r="AJ142" s="76"/>
      <c r="AK142" s="76"/>
      <c r="AL142" s="76"/>
      <c r="AM142" s="76"/>
      <c r="AN142" s="76"/>
      <c r="AO142" s="76"/>
      <c r="AP142" s="76"/>
      <c r="AQ142" s="76"/>
      <c r="AR142" s="76"/>
      <c r="AS142" s="76"/>
      <c r="AT142" s="76"/>
      <c r="AU142" s="76"/>
      <c r="AV142" s="76"/>
      <c r="AW142" s="76"/>
      <c r="AX142" s="76"/>
      <c r="AY142" s="76"/>
      <c r="AZ142" s="76"/>
      <c r="BA142" s="76"/>
      <c r="BB142" s="76"/>
    </row>
    <row r="143" spans="1:54" s="81" customFormat="1" ht="21.6" x14ac:dyDescent="0.25">
      <c r="A143" s="80"/>
      <c r="B143" s="80"/>
      <c r="C143" s="103">
        <v>46</v>
      </c>
      <c r="D143" s="7" t="s">
        <v>140</v>
      </c>
      <c r="E143" s="104"/>
      <c r="F143" s="29"/>
      <c r="G143" s="30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  <c r="AF143" s="76"/>
      <c r="AG143" s="76"/>
      <c r="AH143" s="76"/>
      <c r="AI143" s="76"/>
      <c r="AJ143" s="76"/>
      <c r="AK143" s="76"/>
      <c r="AL143" s="76"/>
      <c r="AM143" s="76"/>
      <c r="AN143" s="76"/>
      <c r="AO143" s="76"/>
      <c r="AP143" s="76"/>
      <c r="AQ143" s="76"/>
      <c r="AR143" s="76"/>
      <c r="AS143" s="76"/>
      <c r="AT143" s="76"/>
      <c r="AU143" s="76"/>
      <c r="AV143" s="76"/>
      <c r="AW143" s="76"/>
      <c r="AX143" s="76"/>
      <c r="AY143" s="76"/>
      <c r="AZ143" s="76"/>
      <c r="BA143" s="76"/>
      <c r="BB143" s="76"/>
    </row>
    <row r="144" spans="1:54" s="81" customFormat="1" ht="21.6" x14ac:dyDescent="0.25">
      <c r="A144" s="80"/>
      <c r="B144" s="80"/>
      <c r="C144" s="103"/>
      <c r="D144" s="7" t="s">
        <v>141</v>
      </c>
      <c r="E144" s="104"/>
      <c r="F144" s="29"/>
      <c r="G144" s="30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  <c r="AE144" s="76"/>
      <c r="AF144" s="76"/>
      <c r="AG144" s="76"/>
      <c r="AH144" s="76"/>
      <c r="AI144" s="76"/>
      <c r="AJ144" s="76"/>
      <c r="AK144" s="76"/>
      <c r="AL144" s="76"/>
      <c r="AM144" s="76"/>
      <c r="AN144" s="76"/>
      <c r="AO144" s="76"/>
      <c r="AP144" s="76"/>
      <c r="AQ144" s="76"/>
      <c r="AR144" s="76"/>
      <c r="AS144" s="76"/>
      <c r="AT144" s="76"/>
      <c r="AU144" s="76"/>
      <c r="AV144" s="76"/>
      <c r="AW144" s="76"/>
      <c r="AX144" s="76"/>
      <c r="AY144" s="76"/>
      <c r="AZ144" s="76"/>
      <c r="BA144" s="76"/>
      <c r="BB144" s="76"/>
    </row>
    <row r="145" spans="1:54" s="81" customFormat="1" ht="21.6" x14ac:dyDescent="0.25">
      <c r="A145" s="80"/>
      <c r="B145" s="80"/>
      <c r="C145" s="94"/>
      <c r="D145" s="27"/>
      <c r="E145" s="104"/>
      <c r="F145" s="30"/>
      <c r="G145" s="30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  <c r="AF145" s="76"/>
      <c r="AG145" s="76"/>
      <c r="AH145" s="76"/>
      <c r="AI145" s="76"/>
      <c r="AJ145" s="76"/>
      <c r="AK145" s="76"/>
      <c r="AL145" s="76"/>
      <c r="AM145" s="76"/>
      <c r="AN145" s="76"/>
      <c r="AO145" s="76"/>
      <c r="AP145" s="76"/>
      <c r="AQ145" s="76"/>
      <c r="AR145" s="76"/>
      <c r="AS145" s="76"/>
      <c r="AT145" s="76"/>
      <c r="AU145" s="76"/>
      <c r="AV145" s="76"/>
      <c r="AW145" s="76"/>
      <c r="AX145" s="76"/>
      <c r="AY145" s="76"/>
      <c r="AZ145" s="76"/>
      <c r="BA145" s="76"/>
      <c r="BB145" s="76"/>
    </row>
    <row r="146" spans="1:54" s="81" customFormat="1" ht="21.6" x14ac:dyDescent="0.25">
      <c r="A146" s="80"/>
      <c r="B146" s="80"/>
      <c r="C146" s="103">
        <v>47</v>
      </c>
      <c r="D146" s="8" t="s">
        <v>142</v>
      </c>
      <c r="E146" s="104"/>
      <c r="F146" s="29"/>
      <c r="G146" s="30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  <c r="AF146" s="76"/>
      <c r="AG146" s="76"/>
      <c r="AH146" s="76"/>
      <c r="AI146" s="76"/>
      <c r="AJ146" s="76"/>
      <c r="AK146" s="76"/>
      <c r="AL146" s="76"/>
      <c r="AM146" s="76"/>
      <c r="AN146" s="76"/>
      <c r="AO146" s="76"/>
      <c r="AP146" s="76"/>
      <c r="AQ146" s="76"/>
      <c r="AR146" s="76"/>
      <c r="AS146" s="76"/>
      <c r="AT146" s="76"/>
      <c r="AU146" s="76"/>
      <c r="AV146" s="76"/>
      <c r="AW146" s="76"/>
      <c r="AX146" s="76"/>
      <c r="AY146" s="76"/>
      <c r="AZ146" s="76"/>
      <c r="BA146" s="76"/>
      <c r="BB146" s="76"/>
    </row>
    <row r="147" spans="1:54" s="81" customFormat="1" ht="21.6" x14ac:dyDescent="0.25">
      <c r="A147" s="80"/>
      <c r="B147" s="80"/>
      <c r="C147" s="103"/>
      <c r="D147" s="8" t="s">
        <v>143</v>
      </c>
      <c r="E147" s="104"/>
      <c r="F147" s="72"/>
      <c r="G147" s="30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  <c r="AF147" s="76"/>
      <c r="AG147" s="76"/>
      <c r="AH147" s="76"/>
      <c r="AI147" s="76"/>
      <c r="AJ147" s="76"/>
      <c r="AK147" s="76"/>
      <c r="AL147" s="76"/>
      <c r="AM147" s="76"/>
      <c r="AN147" s="76"/>
      <c r="AO147" s="76"/>
      <c r="AP147" s="76"/>
      <c r="AQ147" s="76"/>
      <c r="AR147" s="76"/>
      <c r="AS147" s="76"/>
      <c r="AT147" s="76"/>
      <c r="AU147" s="76"/>
      <c r="AV147" s="76"/>
      <c r="AW147" s="76"/>
      <c r="AX147" s="76"/>
      <c r="AY147" s="76"/>
      <c r="AZ147" s="76"/>
      <c r="BA147" s="76"/>
      <c r="BB147" s="76"/>
    </row>
    <row r="148" spans="1:54" s="81" customFormat="1" ht="21.6" x14ac:dyDescent="0.25">
      <c r="A148" s="80"/>
      <c r="B148" s="80"/>
      <c r="C148" s="94"/>
      <c r="D148" s="27"/>
      <c r="E148" s="104"/>
      <c r="F148" s="30"/>
      <c r="G148" s="30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  <c r="AE148" s="76"/>
      <c r="AF148" s="76"/>
      <c r="AG148" s="76"/>
      <c r="AH148" s="76"/>
      <c r="AI148" s="76"/>
      <c r="AJ148" s="76"/>
      <c r="AK148" s="76"/>
      <c r="AL148" s="76"/>
      <c r="AM148" s="76"/>
      <c r="AN148" s="76"/>
      <c r="AO148" s="76"/>
      <c r="AP148" s="76"/>
      <c r="AQ148" s="76"/>
      <c r="AR148" s="76"/>
      <c r="AS148" s="76"/>
      <c r="AT148" s="76"/>
      <c r="AU148" s="76"/>
      <c r="AV148" s="76"/>
      <c r="AW148" s="76"/>
      <c r="AX148" s="76"/>
      <c r="AY148" s="76"/>
      <c r="AZ148" s="76"/>
      <c r="BA148" s="76"/>
      <c r="BB148" s="76"/>
    </row>
    <row r="149" spans="1:54" s="81" customFormat="1" ht="21.6" x14ac:dyDescent="0.25">
      <c r="A149" s="80"/>
      <c r="B149" s="80"/>
      <c r="C149" s="103">
        <v>48</v>
      </c>
      <c r="D149" s="7" t="s">
        <v>144</v>
      </c>
      <c r="E149" s="104"/>
      <c r="F149" s="29"/>
      <c r="G149" s="30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  <c r="AF149" s="76"/>
      <c r="AG149" s="76"/>
      <c r="AH149" s="76"/>
      <c r="AI149" s="76"/>
      <c r="AJ149" s="76"/>
      <c r="AK149" s="76"/>
      <c r="AL149" s="76"/>
      <c r="AM149" s="76"/>
      <c r="AN149" s="76"/>
      <c r="AO149" s="76"/>
      <c r="AP149" s="76"/>
      <c r="AQ149" s="76"/>
      <c r="AR149" s="76"/>
      <c r="AS149" s="76"/>
      <c r="AT149" s="76"/>
      <c r="AU149" s="76"/>
      <c r="AV149" s="76"/>
      <c r="AW149" s="76"/>
      <c r="AX149" s="76"/>
      <c r="AY149" s="76"/>
      <c r="AZ149" s="76"/>
      <c r="BA149" s="76"/>
      <c r="BB149" s="76"/>
    </row>
    <row r="150" spans="1:54" s="81" customFormat="1" ht="21.6" x14ac:dyDescent="0.25">
      <c r="A150" s="80"/>
      <c r="B150" s="80"/>
      <c r="C150" s="103"/>
      <c r="D150" s="7" t="s">
        <v>145</v>
      </c>
      <c r="E150" s="104"/>
      <c r="F150" s="29"/>
      <c r="G150" s="30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  <c r="AE150" s="76"/>
      <c r="AF150" s="76"/>
      <c r="AG150" s="76"/>
      <c r="AH150" s="76"/>
      <c r="AI150" s="76"/>
      <c r="AJ150" s="76"/>
      <c r="AK150" s="76"/>
      <c r="AL150" s="76"/>
      <c r="AM150" s="76"/>
      <c r="AN150" s="76"/>
      <c r="AO150" s="76"/>
      <c r="AP150" s="76"/>
      <c r="AQ150" s="76"/>
      <c r="AR150" s="76"/>
      <c r="AS150" s="76"/>
      <c r="AT150" s="76"/>
      <c r="AU150" s="76"/>
      <c r="AV150" s="76"/>
      <c r="AW150" s="76"/>
      <c r="AX150" s="76"/>
      <c r="AY150" s="76"/>
      <c r="AZ150" s="76"/>
      <c r="BA150" s="76"/>
      <c r="BB150" s="76"/>
    </row>
    <row r="151" spans="1:54" s="81" customFormat="1" ht="21.6" x14ac:dyDescent="0.25">
      <c r="A151" s="80"/>
      <c r="B151" s="80"/>
      <c r="C151" s="94"/>
      <c r="D151" s="27"/>
      <c r="E151" s="104"/>
      <c r="F151" s="30"/>
      <c r="G151" s="30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  <c r="AF151" s="76"/>
      <c r="AG151" s="76"/>
      <c r="AH151" s="76"/>
      <c r="AI151" s="76"/>
      <c r="AJ151" s="76"/>
      <c r="AK151" s="76"/>
      <c r="AL151" s="76"/>
      <c r="AM151" s="76"/>
      <c r="AN151" s="76"/>
      <c r="AO151" s="76"/>
      <c r="AP151" s="76"/>
      <c r="AQ151" s="76"/>
      <c r="AR151" s="76"/>
      <c r="AS151" s="76"/>
      <c r="AT151" s="76"/>
      <c r="AU151" s="76"/>
      <c r="AV151" s="76"/>
      <c r="AW151" s="76"/>
      <c r="AX151" s="76"/>
      <c r="AY151" s="76"/>
      <c r="AZ151" s="76"/>
      <c r="BA151" s="76"/>
      <c r="BB151" s="76"/>
    </row>
    <row r="152" spans="1:54" s="81" customFormat="1" ht="21.6" x14ac:dyDescent="0.25">
      <c r="A152" s="80"/>
      <c r="B152" s="80"/>
      <c r="C152" s="103">
        <v>49</v>
      </c>
      <c r="D152" s="7" t="s">
        <v>146</v>
      </c>
      <c r="E152" s="104"/>
      <c r="F152" s="29"/>
      <c r="G152" s="30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  <c r="AH152" s="76"/>
      <c r="AI152" s="76"/>
      <c r="AJ152" s="76"/>
      <c r="AK152" s="76"/>
      <c r="AL152" s="76"/>
      <c r="AM152" s="76"/>
      <c r="AN152" s="76"/>
      <c r="AO152" s="76"/>
      <c r="AP152" s="76"/>
      <c r="AQ152" s="76"/>
      <c r="AR152" s="76"/>
      <c r="AS152" s="76"/>
      <c r="AT152" s="76"/>
      <c r="AU152" s="76"/>
      <c r="AV152" s="76"/>
      <c r="AW152" s="76"/>
      <c r="AX152" s="76"/>
      <c r="AY152" s="76"/>
      <c r="AZ152" s="76"/>
      <c r="BA152" s="76"/>
      <c r="BB152" s="76"/>
    </row>
    <row r="153" spans="1:54" s="81" customFormat="1" ht="21.6" x14ac:dyDescent="0.25">
      <c r="A153" s="80"/>
      <c r="B153" s="80"/>
      <c r="C153" s="103"/>
      <c r="D153" s="7" t="s">
        <v>147</v>
      </c>
      <c r="E153" s="104"/>
      <c r="F153" s="29"/>
      <c r="G153" s="30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  <c r="AF153" s="76"/>
      <c r="AG153" s="76"/>
      <c r="AH153" s="76"/>
      <c r="AI153" s="76"/>
      <c r="AJ153" s="76"/>
      <c r="AK153" s="76"/>
      <c r="AL153" s="76"/>
      <c r="AM153" s="76"/>
      <c r="AN153" s="76"/>
      <c r="AO153" s="76"/>
      <c r="AP153" s="76"/>
      <c r="AQ153" s="76"/>
      <c r="AR153" s="76"/>
      <c r="AS153" s="76"/>
      <c r="AT153" s="76"/>
      <c r="AU153" s="76"/>
      <c r="AV153" s="76"/>
      <c r="AW153" s="76"/>
      <c r="AX153" s="76"/>
      <c r="AY153" s="76"/>
      <c r="AZ153" s="76"/>
      <c r="BA153" s="76"/>
      <c r="BB153" s="76"/>
    </row>
    <row r="154" spans="1:54" s="81" customFormat="1" ht="21.6" x14ac:dyDescent="0.25">
      <c r="A154" s="80"/>
      <c r="B154" s="80"/>
      <c r="C154" s="94"/>
      <c r="D154" s="27"/>
      <c r="E154" s="104"/>
      <c r="F154" s="30"/>
      <c r="G154" s="30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  <c r="AF154" s="76"/>
      <c r="AG154" s="76"/>
      <c r="AH154" s="76"/>
      <c r="AI154" s="76"/>
      <c r="AJ154" s="76"/>
      <c r="AK154" s="76"/>
      <c r="AL154" s="76"/>
      <c r="AM154" s="76"/>
      <c r="AN154" s="76"/>
      <c r="AO154" s="76"/>
      <c r="AP154" s="76"/>
      <c r="AQ154" s="76"/>
      <c r="AR154" s="76"/>
      <c r="AS154" s="76"/>
      <c r="AT154" s="76"/>
      <c r="AU154" s="76"/>
      <c r="AV154" s="76"/>
      <c r="AW154" s="76"/>
      <c r="AX154" s="76"/>
      <c r="AY154" s="76"/>
      <c r="AZ154" s="76"/>
      <c r="BA154" s="76"/>
      <c r="BB154" s="76"/>
    </row>
    <row r="155" spans="1:54" s="81" customFormat="1" ht="21.6" x14ac:dyDescent="0.25">
      <c r="A155" s="80"/>
      <c r="B155" s="80"/>
      <c r="C155" s="103">
        <v>50</v>
      </c>
      <c r="D155" s="7" t="s">
        <v>148</v>
      </c>
      <c r="E155" s="104"/>
      <c r="F155" s="29"/>
      <c r="G155" s="30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76"/>
      <c r="AJ155" s="76"/>
      <c r="AK155" s="76"/>
      <c r="AL155" s="76"/>
      <c r="AM155" s="76"/>
      <c r="AN155" s="76"/>
      <c r="AO155" s="76"/>
      <c r="AP155" s="76"/>
      <c r="AQ155" s="76"/>
      <c r="AR155" s="76"/>
      <c r="AS155" s="76"/>
      <c r="AT155" s="76"/>
      <c r="AU155" s="76"/>
      <c r="AV155" s="76"/>
      <c r="AW155" s="76"/>
      <c r="AX155" s="76"/>
      <c r="AY155" s="76"/>
      <c r="AZ155" s="76"/>
      <c r="BA155" s="76"/>
      <c r="BB155" s="76"/>
    </row>
    <row r="156" spans="1:54" s="81" customFormat="1" ht="21.6" x14ac:dyDescent="0.25">
      <c r="A156" s="80"/>
      <c r="B156" s="80"/>
      <c r="C156" s="103"/>
      <c r="D156" s="7" t="s">
        <v>149</v>
      </c>
      <c r="E156" s="104"/>
      <c r="F156" s="29"/>
      <c r="G156" s="30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  <c r="AE156" s="76"/>
      <c r="AF156" s="76"/>
      <c r="AG156" s="76"/>
      <c r="AH156" s="76"/>
      <c r="AI156" s="76"/>
      <c r="AJ156" s="76"/>
      <c r="AK156" s="76"/>
      <c r="AL156" s="76"/>
      <c r="AM156" s="76"/>
      <c r="AN156" s="76"/>
      <c r="AO156" s="76"/>
      <c r="AP156" s="76"/>
      <c r="AQ156" s="76"/>
      <c r="AR156" s="76"/>
      <c r="AS156" s="76"/>
      <c r="AT156" s="76"/>
      <c r="AU156" s="76"/>
      <c r="AV156" s="76"/>
      <c r="AW156" s="76"/>
      <c r="AX156" s="76"/>
      <c r="AY156" s="76"/>
      <c r="AZ156" s="76"/>
      <c r="BA156" s="76"/>
      <c r="BB156" s="76"/>
    </row>
    <row r="157" spans="1:54" s="81" customFormat="1" ht="21.6" x14ac:dyDescent="0.25">
      <c r="A157" s="80"/>
      <c r="B157" s="80"/>
      <c r="C157" s="94"/>
      <c r="D157" s="27"/>
      <c r="E157" s="104"/>
      <c r="F157" s="30"/>
      <c r="G157" s="30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76"/>
      <c r="AH157" s="76"/>
      <c r="AI157" s="76"/>
      <c r="AJ157" s="76"/>
      <c r="AK157" s="76"/>
      <c r="AL157" s="76"/>
      <c r="AM157" s="76"/>
      <c r="AN157" s="76"/>
      <c r="AO157" s="76"/>
      <c r="AP157" s="76"/>
      <c r="AQ157" s="76"/>
      <c r="AR157" s="76"/>
      <c r="AS157" s="76"/>
      <c r="AT157" s="76"/>
      <c r="AU157" s="76"/>
      <c r="AV157" s="76"/>
      <c r="AW157" s="76"/>
      <c r="AX157" s="76"/>
      <c r="AY157" s="76"/>
      <c r="AZ157" s="76"/>
      <c r="BA157" s="76"/>
      <c r="BB157" s="76"/>
    </row>
    <row r="158" spans="1:54" s="81" customFormat="1" ht="25.5" customHeight="1" x14ac:dyDescent="0.25">
      <c r="A158" s="80"/>
      <c r="B158" s="80"/>
      <c r="C158" s="103">
        <v>51</v>
      </c>
      <c r="D158" s="7" t="s">
        <v>173</v>
      </c>
      <c r="E158" s="104"/>
      <c r="F158" s="29"/>
      <c r="G158" s="30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  <c r="AF158" s="76"/>
      <c r="AG158" s="76"/>
      <c r="AH158" s="76"/>
      <c r="AI158" s="76"/>
      <c r="AJ158" s="76"/>
      <c r="AK158" s="76"/>
      <c r="AL158" s="76"/>
      <c r="AM158" s="76"/>
      <c r="AN158" s="76"/>
      <c r="AO158" s="76"/>
      <c r="AP158" s="76"/>
      <c r="AQ158" s="76"/>
      <c r="AR158" s="76"/>
      <c r="AS158" s="76"/>
      <c r="AT158" s="76"/>
      <c r="AU158" s="76"/>
      <c r="AV158" s="76"/>
      <c r="AW158" s="76"/>
      <c r="AX158" s="76"/>
      <c r="AY158" s="76"/>
      <c r="AZ158" s="76"/>
      <c r="BA158" s="76"/>
      <c r="BB158" s="76"/>
    </row>
    <row r="159" spans="1:54" s="81" customFormat="1" ht="21.75" customHeight="1" x14ac:dyDescent="0.25">
      <c r="A159" s="80"/>
      <c r="B159" s="80"/>
      <c r="C159" s="103"/>
      <c r="D159" s="7" t="s">
        <v>174</v>
      </c>
      <c r="E159" s="104"/>
      <c r="F159" s="72"/>
      <c r="G159" s="30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76"/>
      <c r="AI159" s="76"/>
      <c r="AJ159" s="76"/>
      <c r="AK159" s="76"/>
      <c r="AL159" s="76"/>
      <c r="AM159" s="76"/>
      <c r="AN159" s="76"/>
      <c r="AO159" s="76"/>
      <c r="AP159" s="76"/>
      <c r="AQ159" s="76"/>
      <c r="AR159" s="76"/>
      <c r="AS159" s="76"/>
      <c r="AT159" s="76"/>
      <c r="AU159" s="76"/>
      <c r="AV159" s="76"/>
      <c r="AW159" s="76"/>
      <c r="AX159" s="76"/>
      <c r="AY159" s="76"/>
      <c r="AZ159" s="76"/>
      <c r="BA159" s="76"/>
      <c r="BB159" s="76"/>
    </row>
    <row r="160" spans="1:54" s="81" customFormat="1" ht="21.75" customHeight="1" x14ac:dyDescent="0.25">
      <c r="A160" s="80"/>
      <c r="B160" s="80"/>
      <c r="C160" s="94"/>
      <c r="D160" s="27"/>
      <c r="E160" s="104"/>
      <c r="F160" s="30"/>
      <c r="G160" s="30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  <c r="AE160" s="76"/>
      <c r="AF160" s="76"/>
      <c r="AG160" s="76"/>
      <c r="AH160" s="76"/>
      <c r="AI160" s="76"/>
      <c r="AJ160" s="76"/>
      <c r="AK160" s="76"/>
      <c r="AL160" s="76"/>
      <c r="AM160" s="76"/>
      <c r="AN160" s="76"/>
      <c r="AO160" s="76"/>
      <c r="AP160" s="76"/>
      <c r="AQ160" s="76"/>
      <c r="AR160" s="76"/>
      <c r="AS160" s="76"/>
      <c r="AT160" s="76"/>
      <c r="AU160" s="76"/>
      <c r="AV160" s="76"/>
      <c r="AW160" s="76"/>
      <c r="AX160" s="76"/>
      <c r="AY160" s="76"/>
      <c r="AZ160" s="76"/>
      <c r="BA160" s="76"/>
      <c r="BB160" s="76"/>
    </row>
    <row r="161" spans="1:54" s="81" customFormat="1" ht="21.6" x14ac:dyDescent="0.25">
      <c r="A161" s="80"/>
      <c r="B161" s="80"/>
      <c r="C161" s="103">
        <v>52</v>
      </c>
      <c r="D161" s="7" t="s">
        <v>150</v>
      </c>
      <c r="E161" s="104"/>
      <c r="F161" s="29"/>
      <c r="G161" s="30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  <c r="AF161" s="76"/>
      <c r="AG161" s="76"/>
      <c r="AH161" s="76"/>
      <c r="AI161" s="76"/>
      <c r="AJ161" s="76"/>
      <c r="AK161" s="76"/>
      <c r="AL161" s="76"/>
      <c r="AM161" s="76"/>
      <c r="AN161" s="76"/>
      <c r="AO161" s="76"/>
      <c r="AP161" s="76"/>
      <c r="AQ161" s="76"/>
      <c r="AR161" s="76"/>
      <c r="AS161" s="76"/>
      <c r="AT161" s="76"/>
      <c r="AU161" s="76"/>
      <c r="AV161" s="76"/>
      <c r="AW161" s="76"/>
      <c r="AX161" s="76"/>
      <c r="AY161" s="76"/>
      <c r="AZ161" s="76"/>
      <c r="BA161" s="76"/>
      <c r="BB161" s="76"/>
    </row>
    <row r="162" spans="1:54" s="81" customFormat="1" ht="22.5" customHeight="1" x14ac:dyDescent="0.25">
      <c r="A162" s="80"/>
      <c r="B162" s="80"/>
      <c r="C162" s="103"/>
      <c r="D162" s="7" t="s">
        <v>151</v>
      </c>
      <c r="E162" s="104"/>
      <c r="F162" s="29"/>
      <c r="G162" s="30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  <c r="AD162" s="76"/>
      <c r="AE162" s="76"/>
      <c r="AF162" s="76"/>
      <c r="AG162" s="76"/>
      <c r="AH162" s="76"/>
      <c r="AI162" s="76"/>
      <c r="AJ162" s="76"/>
      <c r="AK162" s="76"/>
      <c r="AL162" s="76"/>
      <c r="AM162" s="76"/>
      <c r="AN162" s="76"/>
      <c r="AO162" s="76"/>
      <c r="AP162" s="76"/>
      <c r="AQ162" s="76"/>
      <c r="AR162" s="76"/>
      <c r="AS162" s="76"/>
      <c r="AT162" s="76"/>
      <c r="AU162" s="76"/>
      <c r="AV162" s="76"/>
      <c r="AW162" s="76"/>
      <c r="AX162" s="76"/>
      <c r="AY162" s="76"/>
      <c r="AZ162" s="76"/>
      <c r="BA162" s="76"/>
      <c r="BB162" s="76"/>
    </row>
    <row r="163" spans="1:54" s="81" customFormat="1" ht="22.5" customHeight="1" x14ac:dyDescent="0.25">
      <c r="A163" s="80"/>
      <c r="B163" s="80"/>
      <c r="C163" s="94"/>
      <c r="D163" s="27"/>
      <c r="E163" s="104"/>
      <c r="F163" s="30"/>
      <c r="G163" s="30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  <c r="AF163" s="76"/>
      <c r="AG163" s="76"/>
      <c r="AH163" s="76"/>
      <c r="AI163" s="76"/>
      <c r="AJ163" s="76"/>
      <c r="AK163" s="76"/>
      <c r="AL163" s="76"/>
      <c r="AM163" s="76"/>
      <c r="AN163" s="76"/>
      <c r="AO163" s="76"/>
      <c r="AP163" s="76"/>
      <c r="AQ163" s="76"/>
      <c r="AR163" s="76"/>
      <c r="AS163" s="76"/>
      <c r="AT163" s="76"/>
      <c r="AU163" s="76"/>
      <c r="AV163" s="76"/>
      <c r="AW163" s="76"/>
      <c r="AX163" s="76"/>
      <c r="AY163" s="76"/>
      <c r="AZ163" s="76"/>
      <c r="BA163" s="76"/>
      <c r="BB163" s="76"/>
    </row>
    <row r="164" spans="1:54" s="81" customFormat="1" ht="21.6" x14ac:dyDescent="0.25">
      <c r="A164" s="80"/>
      <c r="B164" s="80"/>
      <c r="C164" s="103">
        <v>53</v>
      </c>
      <c r="D164" s="7" t="s">
        <v>152</v>
      </c>
      <c r="E164" s="104"/>
      <c r="F164" s="29"/>
      <c r="G164" s="30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  <c r="AH164" s="76"/>
      <c r="AI164" s="76"/>
      <c r="AJ164" s="76"/>
      <c r="AK164" s="76"/>
      <c r="AL164" s="76"/>
      <c r="AM164" s="76"/>
      <c r="AN164" s="76"/>
      <c r="AO164" s="76"/>
      <c r="AP164" s="76"/>
      <c r="AQ164" s="76"/>
      <c r="AR164" s="76"/>
      <c r="AS164" s="76"/>
      <c r="AT164" s="76"/>
      <c r="AU164" s="76"/>
      <c r="AV164" s="76"/>
      <c r="AW164" s="76"/>
      <c r="AX164" s="76"/>
      <c r="AY164" s="76"/>
      <c r="AZ164" s="76"/>
      <c r="BA164" s="76"/>
      <c r="BB164" s="76"/>
    </row>
    <row r="165" spans="1:54" s="81" customFormat="1" ht="21.6" x14ac:dyDescent="0.25">
      <c r="A165" s="80"/>
      <c r="B165" s="80"/>
      <c r="C165" s="103"/>
      <c r="D165" s="7" t="s">
        <v>153</v>
      </c>
      <c r="E165" s="104"/>
      <c r="F165" s="29"/>
      <c r="G165" s="30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76"/>
      <c r="AE165" s="76"/>
      <c r="AF165" s="76"/>
      <c r="AG165" s="76"/>
      <c r="AH165" s="76"/>
      <c r="AI165" s="76"/>
      <c r="AJ165" s="76"/>
      <c r="AK165" s="76"/>
      <c r="AL165" s="76"/>
      <c r="AM165" s="76"/>
      <c r="AN165" s="76"/>
      <c r="AO165" s="76"/>
      <c r="AP165" s="76"/>
      <c r="AQ165" s="76"/>
      <c r="AR165" s="76"/>
      <c r="AS165" s="76"/>
      <c r="AT165" s="76"/>
      <c r="AU165" s="76"/>
      <c r="AV165" s="76"/>
      <c r="AW165" s="76"/>
      <c r="AX165" s="76"/>
      <c r="AY165" s="76"/>
      <c r="AZ165" s="76"/>
      <c r="BA165" s="76"/>
      <c r="BB165" s="76"/>
    </row>
    <row r="166" spans="1:54" s="81" customFormat="1" ht="21.6" x14ac:dyDescent="0.25">
      <c r="A166" s="80"/>
      <c r="B166" s="80"/>
      <c r="C166" s="94"/>
      <c r="D166" s="27"/>
      <c r="E166" s="104"/>
      <c r="F166" s="30"/>
      <c r="G166" s="30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  <c r="AE166" s="76"/>
      <c r="AF166" s="76"/>
      <c r="AG166" s="76"/>
      <c r="AH166" s="76"/>
      <c r="AI166" s="76"/>
      <c r="AJ166" s="76"/>
      <c r="AK166" s="76"/>
      <c r="AL166" s="76"/>
      <c r="AM166" s="76"/>
      <c r="AN166" s="76"/>
      <c r="AO166" s="76"/>
      <c r="AP166" s="76"/>
      <c r="AQ166" s="76"/>
      <c r="AR166" s="76"/>
      <c r="AS166" s="76"/>
      <c r="AT166" s="76"/>
      <c r="AU166" s="76"/>
      <c r="AV166" s="76"/>
      <c r="AW166" s="76"/>
      <c r="AX166" s="76"/>
      <c r="AY166" s="76"/>
      <c r="AZ166" s="76"/>
      <c r="BA166" s="76"/>
      <c r="BB166" s="76"/>
    </row>
    <row r="167" spans="1:54" s="81" customFormat="1" ht="21.6" x14ac:dyDescent="0.25">
      <c r="A167" s="80"/>
      <c r="B167" s="80"/>
      <c r="C167" s="103">
        <v>54</v>
      </c>
      <c r="D167" s="7" t="s">
        <v>154</v>
      </c>
      <c r="E167" s="104"/>
      <c r="F167" s="29"/>
      <c r="G167" s="30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  <c r="AF167" s="76"/>
      <c r="AG167" s="76"/>
      <c r="AH167" s="76"/>
      <c r="AI167" s="76"/>
      <c r="AJ167" s="76"/>
      <c r="AK167" s="76"/>
      <c r="AL167" s="76"/>
      <c r="AM167" s="76"/>
      <c r="AN167" s="76"/>
      <c r="AO167" s="76"/>
      <c r="AP167" s="76"/>
      <c r="AQ167" s="76"/>
      <c r="AR167" s="76"/>
      <c r="AS167" s="76"/>
      <c r="AT167" s="76"/>
      <c r="AU167" s="76"/>
      <c r="AV167" s="76"/>
      <c r="AW167" s="76"/>
      <c r="AX167" s="76"/>
      <c r="AY167" s="76"/>
      <c r="AZ167" s="76"/>
      <c r="BA167" s="76"/>
      <c r="BB167" s="76"/>
    </row>
    <row r="168" spans="1:54" s="81" customFormat="1" ht="21.6" x14ac:dyDescent="0.25">
      <c r="A168" s="80"/>
      <c r="B168" s="80"/>
      <c r="C168" s="103"/>
      <c r="D168" s="7" t="s">
        <v>155</v>
      </c>
      <c r="E168" s="104"/>
      <c r="F168" s="29"/>
      <c r="G168" s="30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  <c r="AD168" s="76"/>
      <c r="AE168" s="76"/>
      <c r="AF168" s="76"/>
      <c r="AG168" s="76"/>
      <c r="AH168" s="76"/>
      <c r="AI168" s="76"/>
      <c r="AJ168" s="76"/>
      <c r="AK168" s="76"/>
      <c r="AL168" s="76"/>
      <c r="AM168" s="76"/>
      <c r="AN168" s="76"/>
      <c r="AO168" s="76"/>
      <c r="AP168" s="76"/>
      <c r="AQ168" s="76"/>
      <c r="AR168" s="76"/>
      <c r="AS168" s="76"/>
      <c r="AT168" s="76"/>
      <c r="AU168" s="76"/>
      <c r="AV168" s="76"/>
      <c r="AW168" s="76"/>
      <c r="AX168" s="76"/>
      <c r="AY168" s="76"/>
      <c r="AZ168" s="76"/>
      <c r="BA168" s="76"/>
      <c r="BB168" s="76"/>
    </row>
    <row r="169" spans="1:54" s="81" customFormat="1" ht="21.6" x14ac:dyDescent="0.25">
      <c r="A169" s="80"/>
      <c r="B169" s="80"/>
      <c r="C169" s="94"/>
      <c r="D169" s="27"/>
      <c r="E169" s="104"/>
      <c r="F169" s="30"/>
      <c r="G169" s="30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  <c r="AF169" s="76"/>
      <c r="AG169" s="76"/>
      <c r="AH169" s="76"/>
      <c r="AI169" s="76"/>
      <c r="AJ169" s="76"/>
      <c r="AK169" s="76"/>
      <c r="AL169" s="76"/>
      <c r="AM169" s="76"/>
      <c r="AN169" s="76"/>
      <c r="AO169" s="76"/>
      <c r="AP169" s="76"/>
      <c r="AQ169" s="76"/>
      <c r="AR169" s="76"/>
      <c r="AS169" s="76"/>
      <c r="AT169" s="76"/>
      <c r="AU169" s="76"/>
      <c r="AV169" s="76"/>
      <c r="AW169" s="76"/>
      <c r="AX169" s="76"/>
      <c r="AY169" s="76"/>
      <c r="AZ169" s="76"/>
      <c r="BA169" s="76"/>
      <c r="BB169" s="76"/>
    </row>
    <row r="170" spans="1:54" s="81" customFormat="1" ht="21.6" x14ac:dyDescent="0.25">
      <c r="A170" s="80"/>
      <c r="B170" s="80"/>
      <c r="C170" s="103">
        <v>55</v>
      </c>
      <c r="D170" s="7" t="s">
        <v>156</v>
      </c>
      <c r="E170" s="104"/>
      <c r="F170" s="29"/>
      <c r="G170" s="30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  <c r="AE170" s="76"/>
      <c r="AF170" s="76"/>
      <c r="AG170" s="76"/>
      <c r="AH170" s="76"/>
      <c r="AI170" s="76"/>
      <c r="AJ170" s="76"/>
      <c r="AK170" s="76"/>
      <c r="AL170" s="76"/>
      <c r="AM170" s="76"/>
      <c r="AN170" s="76"/>
      <c r="AO170" s="76"/>
      <c r="AP170" s="76"/>
      <c r="AQ170" s="76"/>
      <c r="AR170" s="76"/>
      <c r="AS170" s="76"/>
      <c r="AT170" s="76"/>
      <c r="AU170" s="76"/>
      <c r="AV170" s="76"/>
      <c r="AW170" s="76"/>
      <c r="AX170" s="76"/>
      <c r="AY170" s="76"/>
      <c r="AZ170" s="76"/>
      <c r="BA170" s="76"/>
      <c r="BB170" s="76"/>
    </row>
    <row r="171" spans="1:54" s="81" customFormat="1" ht="21.6" x14ac:dyDescent="0.25">
      <c r="A171" s="80"/>
      <c r="B171" s="80"/>
      <c r="C171" s="103"/>
      <c r="D171" s="7" t="s">
        <v>157</v>
      </c>
      <c r="E171" s="104"/>
      <c r="F171" s="29"/>
      <c r="G171" s="30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  <c r="AF171" s="76"/>
      <c r="AG171" s="76"/>
      <c r="AH171" s="76"/>
      <c r="AI171" s="76"/>
      <c r="AJ171" s="76"/>
      <c r="AK171" s="76"/>
      <c r="AL171" s="76"/>
      <c r="AM171" s="76"/>
      <c r="AN171" s="76"/>
      <c r="AO171" s="76"/>
      <c r="AP171" s="76"/>
      <c r="AQ171" s="76"/>
      <c r="AR171" s="76"/>
      <c r="AS171" s="76"/>
      <c r="AT171" s="76"/>
      <c r="AU171" s="76"/>
      <c r="AV171" s="76"/>
      <c r="AW171" s="76"/>
      <c r="AX171" s="76"/>
      <c r="AY171" s="76"/>
      <c r="AZ171" s="76"/>
      <c r="BA171" s="76"/>
      <c r="BB171" s="76"/>
    </row>
    <row r="172" spans="1:54" s="81" customFormat="1" ht="21.6" x14ac:dyDescent="0.25">
      <c r="A172" s="80"/>
      <c r="B172" s="80"/>
      <c r="C172" s="94"/>
      <c r="D172" s="27"/>
      <c r="E172" s="104"/>
      <c r="F172" s="30"/>
      <c r="G172" s="30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  <c r="AE172" s="76"/>
      <c r="AF172" s="76"/>
      <c r="AG172" s="76"/>
      <c r="AH172" s="76"/>
      <c r="AI172" s="76"/>
      <c r="AJ172" s="76"/>
      <c r="AK172" s="76"/>
      <c r="AL172" s="76"/>
      <c r="AM172" s="76"/>
      <c r="AN172" s="76"/>
      <c r="AO172" s="76"/>
      <c r="AP172" s="76"/>
      <c r="AQ172" s="76"/>
      <c r="AR172" s="76"/>
      <c r="AS172" s="76"/>
      <c r="AT172" s="76"/>
      <c r="AU172" s="76"/>
      <c r="AV172" s="76"/>
      <c r="AW172" s="76"/>
      <c r="AX172" s="76"/>
      <c r="AY172" s="76"/>
      <c r="AZ172" s="76"/>
      <c r="BA172" s="76"/>
      <c r="BB172" s="76"/>
    </row>
    <row r="173" spans="1:54" s="81" customFormat="1" ht="23.25" customHeight="1" x14ac:dyDescent="0.25">
      <c r="A173" s="80"/>
      <c r="B173" s="80"/>
      <c r="C173" s="103">
        <v>56</v>
      </c>
      <c r="D173" s="8" t="s">
        <v>158</v>
      </c>
      <c r="E173" s="104"/>
      <c r="F173" s="29"/>
      <c r="G173" s="30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  <c r="AE173" s="76"/>
      <c r="AF173" s="76"/>
      <c r="AG173" s="76"/>
      <c r="AH173" s="76"/>
      <c r="AI173" s="76"/>
      <c r="AJ173" s="76"/>
      <c r="AK173" s="76"/>
      <c r="AL173" s="76"/>
      <c r="AM173" s="76"/>
      <c r="AN173" s="76"/>
      <c r="AO173" s="76"/>
      <c r="AP173" s="76"/>
      <c r="AQ173" s="76"/>
      <c r="AR173" s="76"/>
      <c r="AS173" s="76"/>
      <c r="AT173" s="76"/>
      <c r="AU173" s="76"/>
      <c r="AV173" s="76"/>
      <c r="AW173" s="76"/>
      <c r="AX173" s="76"/>
      <c r="AY173" s="76"/>
      <c r="AZ173" s="76"/>
      <c r="BA173" s="76"/>
      <c r="BB173" s="76"/>
    </row>
    <row r="174" spans="1:54" s="81" customFormat="1" ht="21.6" x14ac:dyDescent="0.25">
      <c r="A174" s="80"/>
      <c r="B174" s="80"/>
      <c r="C174" s="103"/>
      <c r="D174" s="8" t="s">
        <v>159</v>
      </c>
      <c r="E174" s="104"/>
      <c r="F174" s="29"/>
      <c r="G174" s="30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  <c r="AE174" s="76"/>
      <c r="AF174" s="76"/>
      <c r="AG174" s="76"/>
      <c r="AH174" s="76"/>
      <c r="AI174" s="76"/>
      <c r="AJ174" s="76"/>
      <c r="AK174" s="76"/>
      <c r="AL174" s="76"/>
      <c r="AM174" s="76"/>
      <c r="AN174" s="76"/>
      <c r="AO174" s="76"/>
      <c r="AP174" s="76"/>
      <c r="AQ174" s="76"/>
      <c r="AR174" s="76"/>
      <c r="AS174" s="76"/>
      <c r="AT174" s="76"/>
      <c r="AU174" s="76"/>
      <c r="AV174" s="76"/>
      <c r="AW174" s="76"/>
      <c r="AX174" s="76"/>
      <c r="AY174" s="76"/>
      <c r="AZ174" s="76"/>
      <c r="BA174" s="76"/>
      <c r="BB174" s="76"/>
    </row>
    <row r="175" spans="1:54" s="81" customFormat="1" ht="21.6" x14ac:dyDescent="0.25">
      <c r="A175" s="80"/>
      <c r="B175" s="80"/>
      <c r="C175" s="94"/>
      <c r="D175" s="27"/>
      <c r="E175" s="104"/>
      <c r="F175" s="30"/>
      <c r="G175" s="30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</row>
    <row r="176" spans="1:54" s="81" customFormat="1" ht="21.6" x14ac:dyDescent="0.25">
      <c r="A176" s="80"/>
      <c r="B176" s="80"/>
      <c r="C176" s="103">
        <v>57</v>
      </c>
      <c r="D176" s="7" t="s">
        <v>160</v>
      </c>
      <c r="E176" s="104"/>
      <c r="F176" s="29"/>
      <c r="G176" s="30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  <c r="AG176" s="76"/>
      <c r="AH176" s="76"/>
      <c r="AI176" s="76"/>
      <c r="AJ176" s="76"/>
      <c r="AK176" s="76"/>
      <c r="AL176" s="76"/>
      <c r="AM176" s="76"/>
      <c r="AN176" s="76"/>
      <c r="AO176" s="76"/>
      <c r="AP176" s="76"/>
      <c r="AQ176" s="76"/>
      <c r="AR176" s="76"/>
      <c r="AS176" s="76"/>
      <c r="AT176" s="76"/>
      <c r="AU176" s="76"/>
      <c r="AV176" s="76"/>
      <c r="AW176" s="76"/>
      <c r="AX176" s="76"/>
      <c r="AY176" s="76"/>
      <c r="AZ176" s="76"/>
      <c r="BA176" s="76"/>
      <c r="BB176" s="76"/>
    </row>
    <row r="177" spans="1:54" s="81" customFormat="1" ht="21.6" x14ac:dyDescent="0.25">
      <c r="A177" s="80"/>
      <c r="B177" s="80"/>
      <c r="C177" s="103"/>
      <c r="D177" s="7" t="s">
        <v>161</v>
      </c>
      <c r="E177" s="104"/>
      <c r="F177" s="29"/>
      <c r="G177" s="30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  <c r="AE177" s="76"/>
      <c r="AF177" s="76"/>
      <c r="AG177" s="76"/>
      <c r="AH177" s="76"/>
      <c r="AI177" s="76"/>
      <c r="AJ177" s="76"/>
      <c r="AK177" s="76"/>
      <c r="AL177" s="76"/>
      <c r="AM177" s="76"/>
      <c r="AN177" s="76"/>
      <c r="AO177" s="76"/>
      <c r="AP177" s="76"/>
      <c r="AQ177" s="76"/>
      <c r="AR177" s="76"/>
      <c r="AS177" s="76"/>
      <c r="AT177" s="76"/>
      <c r="AU177" s="76"/>
      <c r="AV177" s="76"/>
      <c r="AW177" s="76"/>
      <c r="AX177" s="76"/>
      <c r="AY177" s="76"/>
      <c r="AZ177" s="76"/>
      <c r="BA177" s="76"/>
      <c r="BB177" s="76"/>
    </row>
    <row r="178" spans="1:54" s="81" customFormat="1" ht="21.6" x14ac:dyDescent="0.25">
      <c r="A178" s="80"/>
      <c r="B178" s="80"/>
      <c r="C178" s="94"/>
      <c r="D178" s="27"/>
      <c r="E178" s="104"/>
      <c r="F178" s="30"/>
      <c r="G178" s="30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  <c r="AE178" s="76"/>
      <c r="AF178" s="76"/>
      <c r="AG178" s="76"/>
      <c r="AH178" s="76"/>
      <c r="AI178" s="76"/>
      <c r="AJ178" s="76"/>
      <c r="AK178" s="76"/>
      <c r="AL178" s="76"/>
      <c r="AM178" s="76"/>
      <c r="AN178" s="76"/>
      <c r="AO178" s="76"/>
      <c r="AP178" s="76"/>
      <c r="AQ178" s="76"/>
      <c r="AR178" s="76"/>
      <c r="AS178" s="76"/>
      <c r="AT178" s="76"/>
      <c r="AU178" s="76"/>
      <c r="AV178" s="76"/>
      <c r="AW178" s="76"/>
      <c r="AX178" s="76"/>
      <c r="AY178" s="76"/>
      <c r="AZ178" s="76"/>
      <c r="BA178" s="76"/>
      <c r="BB178" s="76"/>
    </row>
    <row r="179" spans="1:54" s="81" customFormat="1" ht="21.6" x14ac:dyDescent="0.25">
      <c r="A179" s="80"/>
      <c r="B179" s="80"/>
      <c r="C179" s="103">
        <v>58</v>
      </c>
      <c r="D179" s="7" t="s">
        <v>162</v>
      </c>
      <c r="E179" s="104"/>
      <c r="F179" s="29"/>
      <c r="G179" s="30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  <c r="AF179" s="76"/>
      <c r="AG179" s="76"/>
      <c r="AH179" s="76"/>
      <c r="AI179" s="76"/>
      <c r="AJ179" s="76"/>
      <c r="AK179" s="76"/>
      <c r="AL179" s="76"/>
      <c r="AM179" s="76"/>
      <c r="AN179" s="76"/>
      <c r="AO179" s="76"/>
      <c r="AP179" s="76"/>
      <c r="AQ179" s="76"/>
      <c r="AR179" s="76"/>
      <c r="AS179" s="76"/>
      <c r="AT179" s="76"/>
      <c r="AU179" s="76"/>
      <c r="AV179" s="76"/>
      <c r="AW179" s="76"/>
      <c r="AX179" s="76"/>
      <c r="AY179" s="76"/>
      <c r="AZ179" s="76"/>
      <c r="BA179" s="76"/>
      <c r="BB179" s="76"/>
    </row>
    <row r="180" spans="1:54" s="81" customFormat="1" ht="21.6" x14ac:dyDescent="0.25">
      <c r="A180" s="80"/>
      <c r="B180" s="80"/>
      <c r="C180" s="103"/>
      <c r="D180" s="7" t="s">
        <v>163</v>
      </c>
      <c r="E180" s="104"/>
      <c r="F180" s="29"/>
      <c r="G180" s="30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  <c r="AF180" s="76"/>
      <c r="AG180" s="76"/>
      <c r="AH180" s="76"/>
      <c r="AI180" s="76"/>
      <c r="AJ180" s="76"/>
      <c r="AK180" s="76"/>
      <c r="AL180" s="76"/>
      <c r="AM180" s="76"/>
      <c r="AN180" s="76"/>
      <c r="AO180" s="76"/>
      <c r="AP180" s="76"/>
      <c r="AQ180" s="76"/>
      <c r="AR180" s="76"/>
      <c r="AS180" s="76"/>
      <c r="AT180" s="76"/>
      <c r="AU180" s="76"/>
      <c r="AV180" s="76"/>
      <c r="AW180" s="76"/>
      <c r="AX180" s="76"/>
      <c r="AY180" s="76"/>
      <c r="AZ180" s="76"/>
      <c r="BA180" s="76"/>
      <c r="BB180" s="76"/>
    </row>
    <row r="181" spans="1:54" s="81" customFormat="1" ht="21.6" x14ac:dyDescent="0.25">
      <c r="A181" s="80"/>
      <c r="B181" s="80"/>
      <c r="C181" s="94"/>
      <c r="D181" s="27"/>
      <c r="E181" s="104"/>
      <c r="F181" s="30"/>
      <c r="G181" s="30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  <c r="AF181" s="76"/>
      <c r="AG181" s="76"/>
      <c r="AH181" s="76"/>
      <c r="AI181" s="76"/>
      <c r="AJ181" s="76"/>
      <c r="AK181" s="76"/>
      <c r="AL181" s="76"/>
      <c r="AM181" s="76"/>
      <c r="AN181" s="76"/>
      <c r="AO181" s="76"/>
      <c r="AP181" s="76"/>
      <c r="AQ181" s="76"/>
      <c r="AR181" s="76"/>
      <c r="AS181" s="76"/>
      <c r="AT181" s="76"/>
      <c r="AU181" s="76"/>
      <c r="AV181" s="76"/>
      <c r="AW181" s="76"/>
      <c r="AX181" s="76"/>
      <c r="AY181" s="76"/>
      <c r="AZ181" s="76"/>
      <c r="BA181" s="76"/>
      <c r="BB181" s="76"/>
    </row>
    <row r="182" spans="1:54" s="81" customFormat="1" ht="21.6" x14ac:dyDescent="0.25">
      <c r="A182" s="80"/>
      <c r="B182" s="80"/>
      <c r="C182" s="103">
        <v>59</v>
      </c>
      <c r="D182" s="7" t="s">
        <v>164</v>
      </c>
      <c r="E182" s="104"/>
      <c r="F182" s="29"/>
      <c r="G182" s="30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  <c r="AE182" s="76"/>
      <c r="AF182" s="76"/>
      <c r="AG182" s="76"/>
      <c r="AH182" s="76"/>
      <c r="AI182" s="76"/>
      <c r="AJ182" s="76"/>
      <c r="AK182" s="76"/>
      <c r="AL182" s="76"/>
      <c r="AM182" s="76"/>
      <c r="AN182" s="76"/>
      <c r="AO182" s="76"/>
      <c r="AP182" s="76"/>
      <c r="AQ182" s="76"/>
      <c r="AR182" s="76"/>
      <c r="AS182" s="76"/>
      <c r="AT182" s="76"/>
      <c r="AU182" s="76"/>
      <c r="AV182" s="76"/>
      <c r="AW182" s="76"/>
      <c r="AX182" s="76"/>
      <c r="AY182" s="76"/>
      <c r="AZ182" s="76"/>
      <c r="BA182" s="76"/>
      <c r="BB182" s="76"/>
    </row>
    <row r="183" spans="1:54" s="81" customFormat="1" ht="21.6" x14ac:dyDescent="0.25">
      <c r="A183" s="80"/>
      <c r="B183" s="80"/>
      <c r="C183" s="103"/>
      <c r="D183" s="7" t="s">
        <v>165</v>
      </c>
      <c r="E183" s="104"/>
      <c r="F183" s="29"/>
      <c r="G183" s="30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  <c r="AF183" s="76"/>
      <c r="AG183" s="76"/>
      <c r="AH183" s="76"/>
      <c r="AI183" s="76"/>
      <c r="AJ183" s="76"/>
      <c r="AK183" s="76"/>
      <c r="AL183" s="76"/>
      <c r="AM183" s="76"/>
      <c r="AN183" s="76"/>
      <c r="AO183" s="76"/>
      <c r="AP183" s="76"/>
      <c r="AQ183" s="76"/>
      <c r="AR183" s="76"/>
      <c r="AS183" s="76"/>
      <c r="AT183" s="76"/>
      <c r="AU183" s="76"/>
      <c r="AV183" s="76"/>
      <c r="AW183" s="76"/>
      <c r="AX183" s="76"/>
      <c r="AY183" s="76"/>
      <c r="AZ183" s="76"/>
      <c r="BA183" s="76"/>
      <c r="BB183" s="76"/>
    </row>
    <row r="184" spans="1:54" s="81" customFormat="1" ht="21.6" x14ac:dyDescent="0.25">
      <c r="A184" s="80"/>
      <c r="B184" s="80"/>
      <c r="C184" s="94"/>
      <c r="D184" s="27"/>
      <c r="E184" s="104"/>
      <c r="F184" s="30"/>
      <c r="G184" s="30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  <c r="AD184" s="76"/>
      <c r="AE184" s="76"/>
      <c r="AF184" s="76"/>
      <c r="AG184" s="76"/>
      <c r="AH184" s="76"/>
      <c r="AI184" s="76"/>
      <c r="AJ184" s="76"/>
      <c r="AK184" s="76"/>
      <c r="AL184" s="76"/>
      <c r="AM184" s="76"/>
      <c r="AN184" s="76"/>
      <c r="AO184" s="76"/>
      <c r="AP184" s="76"/>
      <c r="AQ184" s="76"/>
      <c r="AR184" s="76"/>
      <c r="AS184" s="76"/>
      <c r="AT184" s="76"/>
      <c r="AU184" s="76"/>
      <c r="AV184" s="76"/>
      <c r="AW184" s="76"/>
      <c r="AX184" s="76"/>
      <c r="AY184" s="76"/>
      <c r="AZ184" s="76"/>
      <c r="BA184" s="76"/>
      <c r="BB184" s="76"/>
    </row>
    <row r="185" spans="1:54" s="81" customFormat="1" ht="21.6" x14ac:dyDescent="0.25">
      <c r="A185" s="80"/>
      <c r="B185" s="80"/>
      <c r="C185" s="103">
        <v>60</v>
      </c>
      <c r="D185" s="7" t="s">
        <v>166</v>
      </c>
      <c r="E185" s="104"/>
      <c r="F185" s="29"/>
      <c r="G185" s="30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  <c r="AF185" s="76"/>
      <c r="AG185" s="76"/>
      <c r="AH185" s="76"/>
      <c r="AI185" s="76"/>
      <c r="AJ185" s="76"/>
      <c r="AK185" s="76"/>
      <c r="AL185" s="76"/>
      <c r="AM185" s="76"/>
      <c r="AN185" s="76"/>
      <c r="AO185" s="76"/>
      <c r="AP185" s="76"/>
      <c r="AQ185" s="76"/>
      <c r="AR185" s="76"/>
      <c r="AS185" s="76"/>
      <c r="AT185" s="76"/>
      <c r="AU185" s="76"/>
      <c r="AV185" s="76"/>
      <c r="AW185" s="76"/>
      <c r="AX185" s="76"/>
      <c r="AY185" s="76"/>
      <c r="AZ185" s="76"/>
      <c r="BA185" s="76"/>
      <c r="BB185" s="76"/>
    </row>
    <row r="186" spans="1:54" s="81" customFormat="1" ht="21.6" x14ac:dyDescent="0.25">
      <c r="A186" s="80"/>
      <c r="B186" s="80"/>
      <c r="C186" s="103"/>
      <c r="D186" s="7" t="s">
        <v>167</v>
      </c>
      <c r="E186" s="104"/>
      <c r="F186" s="29"/>
      <c r="G186" s="30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  <c r="AD186" s="76"/>
      <c r="AE186" s="76"/>
      <c r="AF186" s="76"/>
      <c r="AG186" s="76"/>
      <c r="AH186" s="76"/>
      <c r="AI186" s="76"/>
      <c r="AJ186" s="76"/>
      <c r="AK186" s="76"/>
      <c r="AL186" s="76"/>
      <c r="AM186" s="76"/>
      <c r="AN186" s="76"/>
      <c r="AO186" s="76"/>
      <c r="AP186" s="76"/>
      <c r="AQ186" s="76"/>
      <c r="AR186" s="76"/>
      <c r="AS186" s="76"/>
      <c r="AT186" s="76"/>
      <c r="AU186" s="76"/>
      <c r="AV186" s="76"/>
      <c r="AW186" s="76"/>
      <c r="AX186" s="76"/>
      <c r="AY186" s="76"/>
      <c r="AZ186" s="76"/>
      <c r="BA186" s="76"/>
      <c r="BB186" s="76"/>
    </row>
    <row r="187" spans="1:54" s="81" customFormat="1" ht="21.6" x14ac:dyDescent="0.25">
      <c r="A187" s="80"/>
      <c r="B187" s="80"/>
      <c r="C187" s="95"/>
      <c r="D187" s="28"/>
      <c r="E187" s="104"/>
      <c r="F187" s="30"/>
      <c r="G187" s="30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  <c r="AE187" s="76"/>
      <c r="AF187" s="76"/>
      <c r="AG187" s="76"/>
      <c r="AH187" s="76"/>
      <c r="AI187" s="76"/>
      <c r="AJ187" s="76"/>
      <c r="AK187" s="76"/>
      <c r="AL187" s="76"/>
      <c r="AM187" s="76"/>
      <c r="AN187" s="76"/>
      <c r="AO187" s="76"/>
      <c r="AP187" s="76"/>
      <c r="AQ187" s="76"/>
      <c r="AR187" s="76"/>
      <c r="AS187" s="76"/>
      <c r="AT187" s="76"/>
      <c r="AU187" s="76"/>
      <c r="AV187" s="76"/>
      <c r="AW187" s="76"/>
      <c r="AX187" s="76"/>
      <c r="AY187" s="76"/>
      <c r="AZ187" s="76"/>
      <c r="BA187" s="76"/>
      <c r="BB187" s="76"/>
    </row>
    <row r="188" spans="1:54" s="81" customFormat="1" ht="56.4" customHeight="1" x14ac:dyDescent="0.25">
      <c r="A188" s="80"/>
      <c r="B188" s="80"/>
      <c r="C188" s="80"/>
      <c r="D188" s="71" t="s">
        <v>12</v>
      </c>
      <c r="E188" s="30"/>
      <c r="F188" s="30"/>
      <c r="G188" s="30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  <c r="AF188" s="76"/>
      <c r="AG188" s="76"/>
      <c r="AH188" s="76"/>
      <c r="AI188" s="76"/>
      <c r="AJ188" s="76"/>
      <c r="AK188" s="76"/>
      <c r="AL188" s="76"/>
      <c r="AM188" s="76"/>
      <c r="AN188" s="76"/>
      <c r="AO188" s="76"/>
      <c r="AP188" s="76"/>
      <c r="AQ188" s="76"/>
      <c r="AR188" s="76"/>
      <c r="AS188" s="76"/>
      <c r="AT188" s="76"/>
      <c r="AU188" s="76"/>
      <c r="AV188" s="76"/>
      <c r="AW188" s="76"/>
      <c r="AX188" s="76"/>
      <c r="AY188" s="76"/>
      <c r="AZ188" s="76"/>
      <c r="BA188" s="76"/>
      <c r="BB188" s="76"/>
    </row>
    <row r="189" spans="1:54" s="81" customFormat="1" ht="21.6" x14ac:dyDescent="0.25">
      <c r="A189" s="80"/>
      <c r="B189" s="80"/>
      <c r="C189" s="95"/>
      <c r="D189" s="28"/>
      <c r="E189" s="28"/>
      <c r="F189" s="30"/>
      <c r="G189" s="30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  <c r="AF189" s="76"/>
      <c r="AG189" s="76"/>
      <c r="AH189" s="76"/>
      <c r="AI189" s="76"/>
      <c r="AJ189" s="76"/>
      <c r="AK189" s="76"/>
      <c r="AL189" s="76"/>
      <c r="AM189" s="76"/>
      <c r="AN189" s="76"/>
      <c r="AO189" s="76"/>
      <c r="AP189" s="76"/>
      <c r="AQ189" s="76"/>
      <c r="AR189" s="76"/>
      <c r="AS189" s="76"/>
      <c r="AT189" s="76"/>
      <c r="AU189" s="76"/>
      <c r="AV189" s="76"/>
      <c r="AW189" s="76"/>
      <c r="AX189" s="76"/>
      <c r="AY189" s="76"/>
      <c r="AZ189" s="76"/>
      <c r="BA189" s="76"/>
      <c r="BB189" s="76"/>
    </row>
    <row r="190" spans="1:54" s="81" customFormat="1" ht="21.6" x14ac:dyDescent="0.25">
      <c r="A190" s="80"/>
      <c r="B190" s="80"/>
      <c r="C190" s="95"/>
      <c r="D190" s="28"/>
      <c r="E190" s="28"/>
      <c r="F190" s="30"/>
      <c r="G190" s="30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  <c r="AD190" s="76"/>
      <c r="AE190" s="76"/>
      <c r="AF190" s="76"/>
      <c r="AG190" s="76"/>
      <c r="AH190" s="76"/>
      <c r="AI190" s="76"/>
      <c r="AJ190" s="76"/>
      <c r="AK190" s="76"/>
      <c r="AL190" s="76"/>
      <c r="AM190" s="76"/>
      <c r="AN190" s="76"/>
      <c r="AO190" s="76"/>
      <c r="AP190" s="76"/>
      <c r="AQ190" s="76"/>
      <c r="AR190" s="76"/>
      <c r="AS190" s="76"/>
      <c r="AT190" s="76"/>
      <c r="AU190" s="76"/>
      <c r="AV190" s="76"/>
      <c r="AW190" s="76"/>
      <c r="AX190" s="76"/>
      <c r="AY190" s="76"/>
      <c r="AZ190" s="76"/>
      <c r="BA190" s="76"/>
      <c r="BB190" s="76"/>
    </row>
    <row r="191" spans="1:54" s="81" customFormat="1" ht="21.6" x14ac:dyDescent="0.25">
      <c r="A191" s="80"/>
      <c r="B191" s="80"/>
      <c r="C191" s="95"/>
      <c r="D191" s="28"/>
      <c r="E191" s="28"/>
      <c r="F191" s="30"/>
      <c r="G191" s="30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  <c r="AE191" s="76"/>
      <c r="AF191" s="76"/>
      <c r="AG191" s="76"/>
      <c r="AH191" s="76"/>
      <c r="AI191" s="76"/>
      <c r="AJ191" s="76"/>
      <c r="AK191" s="76"/>
      <c r="AL191" s="76"/>
      <c r="AM191" s="76"/>
      <c r="AN191" s="76"/>
      <c r="AO191" s="76"/>
      <c r="AP191" s="76"/>
      <c r="AQ191" s="76"/>
      <c r="AR191" s="76"/>
      <c r="AS191" s="76"/>
      <c r="AT191" s="76"/>
      <c r="AU191" s="76"/>
      <c r="AV191" s="76"/>
      <c r="AW191" s="76"/>
      <c r="AX191" s="76"/>
      <c r="AY191" s="76"/>
      <c r="AZ191" s="76"/>
      <c r="BA191" s="76"/>
      <c r="BB191" s="76"/>
    </row>
    <row r="192" spans="1:54" s="81" customFormat="1" ht="21.6" x14ac:dyDescent="0.25">
      <c r="A192" s="80"/>
      <c r="B192" s="80"/>
      <c r="C192" s="95"/>
      <c r="D192" s="28"/>
      <c r="E192" s="28"/>
      <c r="F192" s="30"/>
      <c r="G192" s="30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  <c r="AD192" s="76"/>
      <c r="AE192" s="76"/>
      <c r="AF192" s="76"/>
      <c r="AG192" s="76"/>
      <c r="AH192" s="76"/>
      <c r="AI192" s="76"/>
      <c r="AJ192" s="76"/>
      <c r="AK192" s="76"/>
      <c r="AL192" s="76"/>
      <c r="AM192" s="76"/>
      <c r="AN192" s="76"/>
      <c r="AO192" s="76"/>
      <c r="AP192" s="76"/>
      <c r="AQ192" s="76"/>
      <c r="AR192" s="76"/>
      <c r="AS192" s="76"/>
      <c r="AT192" s="76"/>
      <c r="AU192" s="76"/>
      <c r="AV192" s="76"/>
      <c r="AW192" s="76"/>
      <c r="AX192" s="76"/>
      <c r="AY192" s="76"/>
      <c r="AZ192" s="76"/>
      <c r="BA192" s="76"/>
      <c r="BB192" s="76"/>
    </row>
    <row r="193" spans="1:54" s="81" customFormat="1" ht="21.6" x14ac:dyDescent="0.25">
      <c r="A193" s="80"/>
      <c r="B193" s="80"/>
      <c r="C193" s="95"/>
      <c r="D193" s="28"/>
      <c r="E193" s="28"/>
      <c r="F193" s="30"/>
      <c r="G193" s="30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76"/>
      <c r="AJ193" s="76"/>
      <c r="AK193" s="76"/>
      <c r="AL193" s="76"/>
      <c r="AM193" s="76"/>
      <c r="AN193" s="76"/>
      <c r="AO193" s="76"/>
      <c r="AP193" s="76"/>
      <c r="AQ193" s="76"/>
      <c r="AR193" s="76"/>
      <c r="AS193" s="76"/>
      <c r="AT193" s="76"/>
      <c r="AU193" s="76"/>
      <c r="AV193" s="76"/>
      <c r="AW193" s="76"/>
      <c r="AX193" s="76"/>
      <c r="AY193" s="76"/>
      <c r="AZ193" s="76"/>
      <c r="BA193" s="76"/>
      <c r="BB193" s="76"/>
    </row>
    <row r="194" spans="1:54" s="81" customFormat="1" ht="21.6" x14ac:dyDescent="0.25">
      <c r="A194" s="80"/>
      <c r="B194" s="80"/>
      <c r="C194" s="95"/>
      <c r="D194" s="28"/>
      <c r="E194" s="28"/>
      <c r="F194" s="30"/>
      <c r="G194" s="30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  <c r="AC194" s="76"/>
      <c r="AD194" s="76"/>
      <c r="AE194" s="76"/>
      <c r="AF194" s="76"/>
      <c r="AG194" s="76"/>
      <c r="AH194" s="76"/>
      <c r="AI194" s="76"/>
      <c r="AJ194" s="76"/>
      <c r="AK194" s="76"/>
      <c r="AL194" s="76"/>
      <c r="AM194" s="76"/>
      <c r="AN194" s="76"/>
      <c r="AO194" s="76"/>
      <c r="AP194" s="76"/>
      <c r="AQ194" s="76"/>
      <c r="AR194" s="76"/>
      <c r="AS194" s="76"/>
      <c r="AT194" s="76"/>
      <c r="AU194" s="76"/>
      <c r="AV194" s="76"/>
      <c r="AW194" s="76"/>
      <c r="AX194" s="76"/>
      <c r="AY194" s="76"/>
      <c r="AZ194" s="76"/>
      <c r="BA194" s="76"/>
      <c r="BB194" s="76"/>
    </row>
    <row r="195" spans="1:54" s="81" customFormat="1" ht="21.6" x14ac:dyDescent="0.25">
      <c r="A195" s="80"/>
      <c r="B195" s="80"/>
      <c r="C195" s="95"/>
      <c r="D195" s="28"/>
      <c r="E195" s="28"/>
      <c r="F195" s="30"/>
      <c r="G195" s="30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  <c r="AD195" s="76"/>
      <c r="AE195" s="76"/>
      <c r="AF195" s="76"/>
      <c r="AG195" s="76"/>
      <c r="AH195" s="76"/>
      <c r="AI195" s="76"/>
      <c r="AJ195" s="76"/>
      <c r="AK195" s="76"/>
      <c r="AL195" s="76"/>
      <c r="AM195" s="76"/>
      <c r="AN195" s="76"/>
      <c r="AO195" s="76"/>
      <c r="AP195" s="76"/>
      <c r="AQ195" s="76"/>
      <c r="AR195" s="76"/>
      <c r="AS195" s="76"/>
      <c r="AT195" s="76"/>
      <c r="AU195" s="76"/>
      <c r="AV195" s="76"/>
      <c r="AW195" s="76"/>
      <c r="AX195" s="76"/>
      <c r="AY195" s="76"/>
      <c r="AZ195" s="76"/>
      <c r="BA195" s="76"/>
      <c r="BB195" s="76"/>
    </row>
    <row r="196" spans="1:54" s="81" customFormat="1" ht="21.6" x14ac:dyDescent="0.25">
      <c r="A196" s="80"/>
      <c r="B196" s="80"/>
      <c r="C196" s="95"/>
      <c r="D196" s="28"/>
      <c r="E196" s="28"/>
      <c r="F196" s="30"/>
      <c r="G196" s="30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  <c r="AC196" s="76"/>
      <c r="AD196" s="76"/>
      <c r="AE196" s="76"/>
      <c r="AF196" s="76"/>
      <c r="AG196" s="76"/>
      <c r="AH196" s="76"/>
      <c r="AI196" s="76"/>
      <c r="AJ196" s="76"/>
      <c r="AK196" s="76"/>
      <c r="AL196" s="76"/>
      <c r="AM196" s="76"/>
      <c r="AN196" s="76"/>
      <c r="AO196" s="76"/>
      <c r="AP196" s="76"/>
      <c r="AQ196" s="76"/>
      <c r="AR196" s="76"/>
      <c r="AS196" s="76"/>
      <c r="AT196" s="76"/>
      <c r="AU196" s="76"/>
      <c r="AV196" s="76"/>
      <c r="AW196" s="76"/>
      <c r="AX196" s="76"/>
      <c r="AY196" s="76"/>
      <c r="AZ196" s="76"/>
      <c r="BA196" s="76"/>
      <c r="BB196" s="76"/>
    </row>
    <row r="197" spans="1:54" s="81" customFormat="1" ht="21.6" x14ac:dyDescent="0.25">
      <c r="C197" s="96"/>
      <c r="D197" s="76"/>
      <c r="E197" s="76"/>
      <c r="F197" s="82"/>
      <c r="G197" s="82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  <c r="AD197" s="76"/>
      <c r="AE197" s="76"/>
      <c r="AF197" s="76"/>
      <c r="AG197" s="76"/>
      <c r="AH197" s="76"/>
      <c r="AI197" s="76"/>
      <c r="AJ197" s="76"/>
      <c r="AK197" s="76"/>
      <c r="AL197" s="76"/>
      <c r="AM197" s="76"/>
      <c r="AN197" s="76"/>
      <c r="AO197" s="76"/>
      <c r="AP197" s="76"/>
      <c r="AQ197" s="76"/>
      <c r="AR197" s="76"/>
      <c r="AS197" s="76"/>
      <c r="AT197" s="76"/>
      <c r="AU197" s="76"/>
      <c r="AV197" s="76"/>
      <c r="AW197" s="76"/>
      <c r="AX197" s="76"/>
      <c r="AY197" s="76"/>
      <c r="AZ197" s="76"/>
      <c r="BA197" s="76"/>
      <c r="BB197" s="76"/>
    </row>
    <row r="198" spans="1:54" s="81" customFormat="1" ht="21.6" x14ac:dyDescent="0.25">
      <c r="C198" s="96"/>
      <c r="D198" s="76"/>
      <c r="E198" s="76"/>
      <c r="F198" s="82"/>
      <c r="G198" s="82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  <c r="AC198" s="76"/>
      <c r="AD198" s="76"/>
      <c r="AE198" s="76"/>
      <c r="AF198" s="76"/>
      <c r="AG198" s="76"/>
      <c r="AH198" s="76"/>
      <c r="AI198" s="76"/>
      <c r="AJ198" s="76"/>
      <c r="AK198" s="76"/>
      <c r="AL198" s="76"/>
      <c r="AM198" s="76"/>
      <c r="AN198" s="76"/>
      <c r="AO198" s="76"/>
      <c r="AP198" s="76"/>
      <c r="AQ198" s="76"/>
      <c r="AR198" s="76"/>
      <c r="AS198" s="76"/>
      <c r="AT198" s="76"/>
      <c r="AU198" s="76"/>
      <c r="AV198" s="76"/>
      <c r="AW198" s="76"/>
      <c r="AX198" s="76"/>
      <c r="AY198" s="76"/>
      <c r="AZ198" s="76"/>
      <c r="BA198" s="76"/>
      <c r="BB198" s="76"/>
    </row>
    <row r="199" spans="1:54" s="81" customFormat="1" ht="21.6" x14ac:dyDescent="0.25">
      <c r="C199" s="96"/>
      <c r="D199" s="76"/>
      <c r="E199" s="76"/>
      <c r="F199" s="82"/>
      <c r="G199" s="82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  <c r="AD199" s="76"/>
      <c r="AE199" s="76"/>
      <c r="AF199" s="76"/>
      <c r="AG199" s="76"/>
      <c r="AH199" s="76"/>
      <c r="AI199" s="76"/>
      <c r="AJ199" s="76"/>
      <c r="AK199" s="76"/>
      <c r="AL199" s="76"/>
      <c r="AM199" s="76"/>
      <c r="AN199" s="76"/>
      <c r="AO199" s="76"/>
      <c r="AP199" s="76"/>
      <c r="AQ199" s="76"/>
      <c r="AR199" s="76"/>
      <c r="AS199" s="76"/>
      <c r="AT199" s="76"/>
      <c r="AU199" s="76"/>
      <c r="AV199" s="76"/>
      <c r="AW199" s="76"/>
      <c r="AX199" s="76"/>
      <c r="AY199" s="76"/>
      <c r="AZ199" s="76"/>
      <c r="BA199" s="76"/>
      <c r="BB199" s="76"/>
    </row>
    <row r="200" spans="1:54" s="81" customFormat="1" ht="21.6" x14ac:dyDescent="0.25">
      <c r="C200" s="96"/>
      <c r="D200" s="76"/>
      <c r="E200" s="76"/>
      <c r="F200" s="82"/>
      <c r="G200" s="82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  <c r="AG200" s="76"/>
      <c r="AH200" s="76"/>
      <c r="AI200" s="76"/>
      <c r="AJ200" s="76"/>
      <c r="AK200" s="76"/>
      <c r="AL200" s="76"/>
      <c r="AM200" s="76"/>
      <c r="AN200" s="76"/>
      <c r="AO200" s="76"/>
      <c r="AP200" s="76"/>
      <c r="AQ200" s="76"/>
      <c r="AR200" s="76"/>
      <c r="AS200" s="76"/>
      <c r="AT200" s="76"/>
      <c r="AU200" s="76"/>
      <c r="AV200" s="76"/>
      <c r="AW200" s="76"/>
      <c r="AX200" s="76"/>
      <c r="AY200" s="76"/>
      <c r="AZ200" s="76"/>
      <c r="BA200" s="76"/>
      <c r="BB200" s="76"/>
    </row>
    <row r="201" spans="1:54" s="81" customFormat="1" ht="21.6" x14ac:dyDescent="0.25">
      <c r="C201" s="96"/>
      <c r="D201" s="76"/>
      <c r="E201" s="76"/>
      <c r="F201" s="82"/>
      <c r="G201" s="82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  <c r="AE201" s="76"/>
      <c r="AF201" s="76"/>
      <c r="AG201" s="76"/>
      <c r="AH201" s="76"/>
      <c r="AI201" s="76"/>
      <c r="AJ201" s="76"/>
      <c r="AK201" s="76"/>
      <c r="AL201" s="76"/>
      <c r="AM201" s="76"/>
      <c r="AN201" s="76"/>
      <c r="AO201" s="76"/>
      <c r="AP201" s="76"/>
      <c r="AQ201" s="76"/>
      <c r="AR201" s="76"/>
      <c r="AS201" s="76"/>
      <c r="AT201" s="76"/>
      <c r="AU201" s="76"/>
      <c r="AV201" s="76"/>
      <c r="AW201" s="76"/>
      <c r="AX201" s="76"/>
      <c r="AY201" s="76"/>
      <c r="AZ201" s="76"/>
      <c r="BA201" s="76"/>
      <c r="BB201" s="76"/>
    </row>
    <row r="202" spans="1:54" s="81" customFormat="1" ht="21.6" x14ac:dyDescent="0.25">
      <c r="C202" s="96"/>
      <c r="D202" s="76"/>
      <c r="E202" s="76"/>
      <c r="F202" s="82"/>
      <c r="G202" s="82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  <c r="AE202" s="76"/>
      <c r="AF202" s="76"/>
      <c r="AG202" s="76"/>
      <c r="AH202" s="76"/>
      <c r="AI202" s="76"/>
      <c r="AJ202" s="76"/>
      <c r="AK202" s="76"/>
      <c r="AL202" s="76"/>
      <c r="AM202" s="76"/>
      <c r="AN202" s="76"/>
      <c r="AO202" s="76"/>
      <c r="AP202" s="76"/>
      <c r="AQ202" s="76"/>
      <c r="AR202" s="76"/>
      <c r="AS202" s="76"/>
      <c r="AT202" s="76"/>
      <c r="AU202" s="76"/>
      <c r="AV202" s="76"/>
      <c r="AW202" s="76"/>
      <c r="AX202" s="76"/>
      <c r="AY202" s="76"/>
      <c r="AZ202" s="76"/>
      <c r="BA202" s="76"/>
      <c r="BB202" s="76"/>
    </row>
    <row r="203" spans="1:54" s="81" customFormat="1" ht="21.6" x14ac:dyDescent="0.25">
      <c r="C203" s="96"/>
      <c r="D203" s="76"/>
      <c r="E203" s="76"/>
      <c r="F203" s="82"/>
      <c r="G203" s="82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  <c r="AD203" s="76"/>
      <c r="AE203" s="76"/>
      <c r="AF203" s="76"/>
      <c r="AG203" s="76"/>
      <c r="AH203" s="76"/>
      <c r="AI203" s="76"/>
      <c r="AJ203" s="76"/>
      <c r="AK203" s="76"/>
      <c r="AL203" s="76"/>
      <c r="AM203" s="76"/>
      <c r="AN203" s="76"/>
      <c r="AO203" s="76"/>
      <c r="AP203" s="76"/>
      <c r="AQ203" s="76"/>
      <c r="AR203" s="76"/>
      <c r="AS203" s="76"/>
      <c r="AT203" s="76"/>
      <c r="AU203" s="76"/>
      <c r="AV203" s="76"/>
      <c r="AW203" s="76"/>
      <c r="AX203" s="76"/>
      <c r="AY203" s="76"/>
      <c r="AZ203" s="76"/>
      <c r="BA203" s="76"/>
      <c r="BB203" s="76"/>
    </row>
    <row r="204" spans="1:54" s="81" customFormat="1" ht="21.6" x14ac:dyDescent="0.25">
      <c r="C204" s="96"/>
      <c r="D204" s="76"/>
      <c r="E204" s="76"/>
      <c r="F204" s="82"/>
      <c r="G204" s="82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  <c r="AB204" s="76"/>
      <c r="AC204" s="76"/>
      <c r="AD204" s="76"/>
      <c r="AE204" s="76"/>
      <c r="AF204" s="76"/>
      <c r="AG204" s="76"/>
      <c r="AH204" s="76"/>
      <c r="AI204" s="76"/>
      <c r="AJ204" s="76"/>
      <c r="AK204" s="76"/>
      <c r="AL204" s="76"/>
      <c r="AM204" s="76"/>
      <c r="AN204" s="76"/>
      <c r="AO204" s="76"/>
      <c r="AP204" s="76"/>
      <c r="AQ204" s="76"/>
      <c r="AR204" s="76"/>
      <c r="AS204" s="76"/>
      <c r="AT204" s="76"/>
      <c r="AU204" s="76"/>
      <c r="AV204" s="76"/>
      <c r="AW204" s="76"/>
      <c r="AX204" s="76"/>
      <c r="AY204" s="76"/>
      <c r="AZ204" s="76"/>
      <c r="BA204" s="76"/>
      <c r="BB204" s="76"/>
    </row>
    <row r="205" spans="1:54" s="81" customFormat="1" ht="21.6" x14ac:dyDescent="0.25">
      <c r="C205" s="96"/>
      <c r="D205" s="76"/>
      <c r="E205" s="76"/>
      <c r="F205" s="82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  <c r="AD205" s="76"/>
      <c r="AE205" s="76"/>
      <c r="AF205" s="76"/>
      <c r="AG205" s="76"/>
      <c r="AH205" s="76"/>
      <c r="AI205" s="76"/>
      <c r="AJ205" s="76"/>
      <c r="AK205" s="76"/>
      <c r="AL205" s="76"/>
      <c r="AM205" s="76"/>
      <c r="AN205" s="76"/>
      <c r="AO205" s="76"/>
      <c r="AP205" s="76"/>
      <c r="AQ205" s="76"/>
      <c r="AR205" s="76"/>
      <c r="AS205" s="76"/>
      <c r="AT205" s="76"/>
      <c r="AU205" s="76"/>
      <c r="AV205" s="76"/>
      <c r="AW205" s="76"/>
      <c r="AX205" s="76"/>
      <c r="AY205" s="76"/>
      <c r="AZ205" s="76"/>
      <c r="BA205" s="76"/>
      <c r="BB205" s="76"/>
    </row>
    <row r="206" spans="1:54" s="81" customFormat="1" ht="21.6" x14ac:dyDescent="0.25">
      <c r="C206" s="96"/>
      <c r="D206" s="76"/>
      <c r="E206" s="76"/>
      <c r="F206" s="82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  <c r="AD206" s="76"/>
      <c r="AE206" s="76"/>
      <c r="AF206" s="76"/>
      <c r="AG206" s="76"/>
      <c r="AH206" s="76"/>
      <c r="AI206" s="76"/>
      <c r="AJ206" s="76"/>
      <c r="AK206" s="76"/>
      <c r="AL206" s="76"/>
      <c r="AM206" s="76"/>
      <c r="AN206" s="76"/>
      <c r="AO206" s="76"/>
      <c r="AP206" s="76"/>
      <c r="AQ206" s="76"/>
      <c r="AR206" s="76"/>
      <c r="AS206" s="76"/>
      <c r="AT206" s="76"/>
      <c r="AU206" s="76"/>
      <c r="AV206" s="76"/>
      <c r="AW206" s="76"/>
      <c r="AX206" s="76"/>
      <c r="AY206" s="76"/>
      <c r="AZ206" s="76"/>
      <c r="BA206" s="76"/>
      <c r="BB206" s="76"/>
    </row>
    <row r="207" spans="1:54" s="81" customFormat="1" ht="21.6" x14ac:dyDescent="0.25">
      <c r="C207" s="96"/>
      <c r="D207" s="76"/>
      <c r="E207" s="76"/>
      <c r="F207" s="82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  <c r="AD207" s="76"/>
      <c r="AE207" s="76"/>
      <c r="AF207" s="76"/>
      <c r="AG207" s="76"/>
      <c r="AH207" s="76"/>
      <c r="AI207" s="76"/>
      <c r="AJ207" s="76"/>
      <c r="AK207" s="76"/>
      <c r="AL207" s="76"/>
      <c r="AM207" s="76"/>
      <c r="AN207" s="76"/>
      <c r="AO207" s="76"/>
      <c r="AP207" s="76"/>
      <c r="AQ207" s="76"/>
      <c r="AR207" s="76"/>
      <c r="AS207" s="76"/>
      <c r="AT207" s="76"/>
      <c r="AU207" s="76"/>
      <c r="AV207" s="76"/>
      <c r="AW207" s="76"/>
      <c r="AX207" s="76"/>
      <c r="AY207" s="76"/>
      <c r="AZ207" s="76"/>
      <c r="BA207" s="76"/>
      <c r="BB207" s="76"/>
    </row>
    <row r="208" spans="1:54" s="81" customFormat="1" ht="21.6" x14ac:dyDescent="0.25">
      <c r="C208" s="96"/>
      <c r="D208" s="76"/>
      <c r="E208" s="76"/>
      <c r="F208" s="82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  <c r="AA208" s="76"/>
      <c r="AB208" s="76"/>
      <c r="AC208" s="76"/>
      <c r="AD208" s="76"/>
      <c r="AE208" s="76"/>
      <c r="AF208" s="76"/>
      <c r="AG208" s="76"/>
      <c r="AH208" s="76"/>
      <c r="AI208" s="76"/>
      <c r="AJ208" s="76"/>
      <c r="AK208" s="76"/>
      <c r="AL208" s="76"/>
      <c r="AM208" s="76"/>
      <c r="AN208" s="76"/>
      <c r="AO208" s="76"/>
      <c r="AP208" s="76"/>
      <c r="AQ208" s="76"/>
      <c r="AR208" s="76"/>
      <c r="AS208" s="76"/>
      <c r="AT208" s="76"/>
      <c r="AU208" s="76"/>
      <c r="AV208" s="76"/>
      <c r="AW208" s="76"/>
      <c r="AX208" s="76"/>
      <c r="AY208" s="76"/>
      <c r="AZ208" s="76"/>
      <c r="BA208" s="76"/>
      <c r="BB208" s="76"/>
    </row>
    <row r="209" spans="3:54" s="81" customFormat="1" ht="21.6" x14ac:dyDescent="0.25">
      <c r="C209" s="96"/>
      <c r="D209" s="76"/>
      <c r="E209" s="76"/>
      <c r="F209" s="82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  <c r="AD209" s="76"/>
      <c r="AE209" s="76"/>
      <c r="AF209" s="76"/>
      <c r="AG209" s="76"/>
      <c r="AH209" s="76"/>
      <c r="AI209" s="76"/>
      <c r="AJ209" s="76"/>
      <c r="AK209" s="76"/>
      <c r="AL209" s="76"/>
      <c r="AM209" s="76"/>
      <c r="AN209" s="76"/>
      <c r="AO209" s="76"/>
      <c r="AP209" s="76"/>
      <c r="AQ209" s="76"/>
      <c r="AR209" s="76"/>
      <c r="AS209" s="76"/>
      <c r="AT209" s="76"/>
      <c r="AU209" s="76"/>
      <c r="AV209" s="76"/>
      <c r="AW209" s="76"/>
      <c r="AX209" s="76"/>
      <c r="AY209" s="76"/>
      <c r="AZ209" s="76"/>
      <c r="BA209" s="76"/>
      <c r="BB209" s="76"/>
    </row>
    <row r="210" spans="3:54" s="81" customFormat="1" ht="21.6" x14ac:dyDescent="0.25">
      <c r="C210" s="96"/>
      <c r="D210" s="76"/>
      <c r="E210" s="76"/>
      <c r="F210" s="82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  <c r="AB210" s="76"/>
      <c r="AC210" s="76"/>
      <c r="AD210" s="76"/>
      <c r="AE210" s="76"/>
      <c r="AF210" s="76"/>
      <c r="AG210" s="76"/>
      <c r="AH210" s="76"/>
      <c r="AI210" s="76"/>
      <c r="AJ210" s="76"/>
      <c r="AK210" s="76"/>
      <c r="AL210" s="76"/>
      <c r="AM210" s="76"/>
      <c r="AN210" s="76"/>
      <c r="AO210" s="76"/>
      <c r="AP210" s="76"/>
      <c r="AQ210" s="76"/>
      <c r="AR210" s="76"/>
      <c r="AS210" s="76"/>
      <c r="AT210" s="76"/>
      <c r="AU210" s="76"/>
      <c r="AV210" s="76"/>
      <c r="AW210" s="76"/>
      <c r="AX210" s="76"/>
      <c r="AY210" s="76"/>
      <c r="AZ210" s="76"/>
      <c r="BA210" s="76"/>
      <c r="BB210" s="76"/>
    </row>
    <row r="211" spans="3:54" s="81" customFormat="1" ht="21.6" x14ac:dyDescent="0.25">
      <c r="C211" s="96"/>
      <c r="D211" s="76"/>
      <c r="E211" s="76"/>
      <c r="F211" s="82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  <c r="AD211" s="76"/>
      <c r="AE211" s="76"/>
      <c r="AF211" s="76"/>
      <c r="AG211" s="76"/>
      <c r="AH211" s="76"/>
      <c r="AI211" s="76"/>
      <c r="AJ211" s="76"/>
      <c r="AK211" s="76"/>
      <c r="AL211" s="76"/>
      <c r="AM211" s="76"/>
      <c r="AN211" s="76"/>
      <c r="AO211" s="76"/>
      <c r="AP211" s="76"/>
      <c r="AQ211" s="76"/>
      <c r="AR211" s="76"/>
      <c r="AS211" s="76"/>
      <c r="AT211" s="76"/>
      <c r="AU211" s="76"/>
      <c r="AV211" s="76"/>
      <c r="AW211" s="76"/>
      <c r="AX211" s="76"/>
      <c r="AY211" s="76"/>
      <c r="AZ211" s="76"/>
      <c r="BA211" s="76"/>
      <c r="BB211" s="76"/>
    </row>
    <row r="212" spans="3:54" s="81" customFormat="1" ht="21.6" x14ac:dyDescent="0.25">
      <c r="C212" s="96"/>
      <c r="D212" s="76"/>
      <c r="E212" s="76"/>
      <c r="F212" s="82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76"/>
      <c r="AI212" s="76"/>
      <c r="AJ212" s="76"/>
      <c r="AK212" s="76"/>
      <c r="AL212" s="76"/>
      <c r="AM212" s="76"/>
      <c r="AN212" s="76"/>
      <c r="AO212" s="76"/>
      <c r="AP212" s="76"/>
      <c r="AQ212" s="76"/>
      <c r="AR212" s="76"/>
      <c r="AS212" s="76"/>
      <c r="AT212" s="76"/>
      <c r="AU212" s="76"/>
      <c r="AV212" s="76"/>
      <c r="AW212" s="76"/>
      <c r="AX212" s="76"/>
      <c r="AY212" s="76"/>
      <c r="AZ212" s="76"/>
      <c r="BA212" s="76"/>
      <c r="BB212" s="76"/>
    </row>
    <row r="213" spans="3:54" s="81" customFormat="1" ht="21.6" x14ac:dyDescent="0.25">
      <c r="C213" s="96"/>
      <c r="D213" s="76"/>
      <c r="E213" s="76"/>
      <c r="F213" s="82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  <c r="AD213" s="76"/>
      <c r="AE213" s="76"/>
      <c r="AF213" s="76"/>
      <c r="AG213" s="76"/>
      <c r="AH213" s="76"/>
      <c r="AI213" s="76"/>
      <c r="AJ213" s="76"/>
      <c r="AK213" s="76"/>
      <c r="AL213" s="76"/>
      <c r="AM213" s="76"/>
      <c r="AN213" s="76"/>
      <c r="AO213" s="76"/>
      <c r="AP213" s="76"/>
      <c r="AQ213" s="76"/>
      <c r="AR213" s="76"/>
      <c r="AS213" s="76"/>
      <c r="AT213" s="76"/>
      <c r="AU213" s="76"/>
      <c r="AV213" s="76"/>
      <c r="AW213" s="76"/>
      <c r="AX213" s="76"/>
      <c r="AY213" s="76"/>
      <c r="AZ213" s="76"/>
      <c r="BA213" s="76"/>
      <c r="BB213" s="76"/>
    </row>
    <row r="214" spans="3:54" s="81" customFormat="1" ht="21.6" x14ac:dyDescent="0.25">
      <c r="C214" s="96"/>
      <c r="D214" s="76"/>
      <c r="E214" s="76"/>
      <c r="F214" s="82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  <c r="AC214" s="76"/>
      <c r="AD214" s="76"/>
      <c r="AE214" s="76"/>
      <c r="AF214" s="76"/>
      <c r="AG214" s="76"/>
      <c r="AH214" s="76"/>
      <c r="AI214" s="76"/>
      <c r="AJ214" s="76"/>
      <c r="AK214" s="76"/>
      <c r="AL214" s="76"/>
      <c r="AM214" s="76"/>
      <c r="AN214" s="76"/>
      <c r="AO214" s="76"/>
      <c r="AP214" s="76"/>
      <c r="AQ214" s="76"/>
      <c r="AR214" s="76"/>
      <c r="AS214" s="76"/>
      <c r="AT214" s="76"/>
      <c r="AU214" s="76"/>
      <c r="AV214" s="76"/>
      <c r="AW214" s="76"/>
      <c r="AX214" s="76"/>
      <c r="AY214" s="76"/>
      <c r="AZ214" s="76"/>
      <c r="BA214" s="76"/>
      <c r="BB214" s="76"/>
    </row>
    <row r="215" spans="3:54" s="81" customFormat="1" ht="21.6" x14ac:dyDescent="0.25">
      <c r="C215" s="96"/>
      <c r="D215" s="76"/>
      <c r="E215" s="76"/>
      <c r="F215" s="82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  <c r="AD215" s="76"/>
      <c r="AE215" s="76"/>
      <c r="AF215" s="76"/>
      <c r="AG215" s="76"/>
      <c r="AH215" s="76"/>
      <c r="AI215" s="76"/>
      <c r="AJ215" s="76"/>
      <c r="AK215" s="76"/>
      <c r="AL215" s="76"/>
      <c r="AM215" s="76"/>
      <c r="AN215" s="76"/>
      <c r="AO215" s="76"/>
      <c r="AP215" s="76"/>
      <c r="AQ215" s="76"/>
      <c r="AR215" s="76"/>
      <c r="AS215" s="76"/>
      <c r="AT215" s="76"/>
      <c r="AU215" s="76"/>
      <c r="AV215" s="76"/>
      <c r="AW215" s="76"/>
      <c r="AX215" s="76"/>
      <c r="AY215" s="76"/>
      <c r="AZ215" s="76"/>
      <c r="BA215" s="76"/>
      <c r="BB215" s="76"/>
    </row>
    <row r="216" spans="3:54" s="81" customFormat="1" ht="21.6" x14ac:dyDescent="0.25">
      <c r="C216" s="96"/>
      <c r="D216" s="76"/>
      <c r="E216" s="76"/>
      <c r="F216" s="82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  <c r="AD216" s="76"/>
      <c r="AE216" s="76"/>
      <c r="AF216" s="76"/>
      <c r="AG216" s="76"/>
      <c r="AH216" s="76"/>
      <c r="AI216" s="76"/>
      <c r="AJ216" s="76"/>
      <c r="AK216" s="76"/>
      <c r="AL216" s="76"/>
      <c r="AM216" s="76"/>
      <c r="AN216" s="76"/>
      <c r="AO216" s="76"/>
      <c r="AP216" s="76"/>
      <c r="AQ216" s="76"/>
      <c r="AR216" s="76"/>
      <c r="AS216" s="76"/>
      <c r="AT216" s="76"/>
      <c r="AU216" s="76"/>
      <c r="AV216" s="76"/>
      <c r="AW216" s="76"/>
      <c r="AX216" s="76"/>
      <c r="AY216" s="76"/>
      <c r="AZ216" s="76"/>
      <c r="BA216" s="76"/>
      <c r="BB216" s="76"/>
    </row>
    <row r="217" spans="3:54" s="81" customFormat="1" ht="21.6" x14ac:dyDescent="0.25">
      <c r="C217" s="96"/>
      <c r="D217" s="76"/>
      <c r="E217" s="76"/>
      <c r="F217" s="82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  <c r="AE217" s="76"/>
      <c r="AF217" s="76"/>
      <c r="AG217" s="76"/>
      <c r="AH217" s="76"/>
      <c r="AI217" s="76"/>
      <c r="AJ217" s="76"/>
      <c r="AK217" s="76"/>
      <c r="AL217" s="76"/>
      <c r="AM217" s="76"/>
      <c r="AN217" s="76"/>
      <c r="AO217" s="76"/>
      <c r="AP217" s="76"/>
      <c r="AQ217" s="76"/>
      <c r="AR217" s="76"/>
      <c r="AS217" s="76"/>
      <c r="AT217" s="76"/>
      <c r="AU217" s="76"/>
      <c r="AV217" s="76"/>
      <c r="AW217" s="76"/>
      <c r="AX217" s="76"/>
      <c r="AY217" s="76"/>
      <c r="AZ217" s="76"/>
      <c r="BA217" s="76"/>
      <c r="BB217" s="76"/>
    </row>
    <row r="218" spans="3:54" s="81" customFormat="1" ht="21.6" x14ac:dyDescent="0.25">
      <c r="C218" s="96"/>
      <c r="D218" s="76"/>
      <c r="E218" s="76"/>
      <c r="F218" s="82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  <c r="AB218" s="76"/>
      <c r="AC218" s="76"/>
      <c r="AD218" s="76"/>
      <c r="AE218" s="76"/>
      <c r="AF218" s="76"/>
      <c r="AG218" s="76"/>
      <c r="AH218" s="76"/>
      <c r="AI218" s="76"/>
      <c r="AJ218" s="76"/>
      <c r="AK218" s="76"/>
      <c r="AL218" s="76"/>
      <c r="AM218" s="76"/>
      <c r="AN218" s="76"/>
      <c r="AO218" s="76"/>
      <c r="AP218" s="76"/>
      <c r="AQ218" s="76"/>
      <c r="AR218" s="76"/>
      <c r="AS218" s="76"/>
      <c r="AT218" s="76"/>
      <c r="AU218" s="76"/>
      <c r="AV218" s="76"/>
      <c r="AW218" s="76"/>
      <c r="AX218" s="76"/>
      <c r="AY218" s="76"/>
      <c r="AZ218" s="76"/>
      <c r="BA218" s="76"/>
      <c r="BB218" s="76"/>
    </row>
    <row r="219" spans="3:54" s="81" customFormat="1" ht="21.6" x14ac:dyDescent="0.25">
      <c r="C219" s="96"/>
      <c r="D219" s="76"/>
      <c r="E219" s="76"/>
      <c r="F219" s="82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  <c r="AD219" s="76"/>
      <c r="AE219" s="76"/>
      <c r="AF219" s="76"/>
      <c r="AG219" s="76"/>
      <c r="AH219" s="76"/>
      <c r="AI219" s="76"/>
      <c r="AJ219" s="76"/>
      <c r="AK219" s="76"/>
      <c r="AL219" s="76"/>
      <c r="AM219" s="76"/>
      <c r="AN219" s="76"/>
      <c r="AO219" s="76"/>
      <c r="AP219" s="76"/>
      <c r="AQ219" s="76"/>
      <c r="AR219" s="76"/>
      <c r="AS219" s="76"/>
      <c r="AT219" s="76"/>
      <c r="AU219" s="76"/>
      <c r="AV219" s="76"/>
      <c r="AW219" s="76"/>
      <c r="AX219" s="76"/>
      <c r="AY219" s="76"/>
      <c r="AZ219" s="76"/>
      <c r="BA219" s="76"/>
      <c r="BB219" s="76"/>
    </row>
    <row r="220" spans="3:54" s="81" customFormat="1" ht="21.6" x14ac:dyDescent="0.25">
      <c r="C220" s="96"/>
      <c r="D220" s="76"/>
      <c r="E220" s="76"/>
      <c r="F220" s="82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  <c r="AB220" s="76"/>
      <c r="AC220" s="76"/>
      <c r="AD220" s="76"/>
      <c r="AE220" s="76"/>
      <c r="AF220" s="76"/>
      <c r="AG220" s="76"/>
      <c r="AH220" s="76"/>
      <c r="AI220" s="76"/>
      <c r="AJ220" s="76"/>
      <c r="AK220" s="76"/>
      <c r="AL220" s="76"/>
      <c r="AM220" s="76"/>
      <c r="AN220" s="76"/>
      <c r="AO220" s="76"/>
      <c r="AP220" s="76"/>
      <c r="AQ220" s="76"/>
      <c r="AR220" s="76"/>
      <c r="AS220" s="76"/>
      <c r="AT220" s="76"/>
      <c r="AU220" s="76"/>
      <c r="AV220" s="76"/>
      <c r="AW220" s="76"/>
      <c r="AX220" s="76"/>
      <c r="AY220" s="76"/>
      <c r="AZ220" s="76"/>
      <c r="BA220" s="76"/>
      <c r="BB220" s="76"/>
    </row>
    <row r="221" spans="3:54" s="81" customFormat="1" ht="21.6" x14ac:dyDescent="0.25">
      <c r="C221" s="96"/>
      <c r="D221" s="76"/>
      <c r="E221" s="76"/>
      <c r="F221" s="82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  <c r="AD221" s="76"/>
      <c r="AE221" s="76"/>
      <c r="AF221" s="76"/>
      <c r="AG221" s="76"/>
      <c r="AH221" s="76"/>
      <c r="AI221" s="76"/>
      <c r="AJ221" s="76"/>
      <c r="AK221" s="76"/>
      <c r="AL221" s="76"/>
      <c r="AM221" s="76"/>
      <c r="AN221" s="76"/>
      <c r="AO221" s="76"/>
      <c r="AP221" s="76"/>
      <c r="AQ221" s="76"/>
      <c r="AR221" s="76"/>
      <c r="AS221" s="76"/>
      <c r="AT221" s="76"/>
      <c r="AU221" s="76"/>
      <c r="AV221" s="76"/>
      <c r="AW221" s="76"/>
      <c r="AX221" s="76"/>
      <c r="AY221" s="76"/>
      <c r="AZ221" s="76"/>
      <c r="BA221" s="76"/>
      <c r="BB221" s="76"/>
    </row>
    <row r="222" spans="3:54" s="21" customFormat="1" ht="21.6" x14ac:dyDescent="0.25">
      <c r="C222" s="96"/>
      <c r="D222" s="76"/>
      <c r="E222" s="76"/>
      <c r="F222" s="82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  <c r="AE222" s="76"/>
      <c r="AF222" s="76"/>
      <c r="AG222" s="76"/>
      <c r="AH222" s="76"/>
      <c r="AI222" s="76"/>
      <c r="AJ222" s="76"/>
      <c r="AK222" s="76"/>
      <c r="AL222" s="76"/>
      <c r="AM222" s="76"/>
      <c r="AN222" s="76"/>
      <c r="AO222" s="76"/>
      <c r="AP222" s="76"/>
      <c r="AQ222" s="76"/>
      <c r="AR222" s="76"/>
      <c r="AS222" s="76"/>
      <c r="AT222" s="76"/>
      <c r="AU222" s="76"/>
      <c r="AV222" s="76"/>
      <c r="AW222" s="76"/>
      <c r="AX222" s="76"/>
      <c r="AY222" s="76"/>
      <c r="AZ222" s="76"/>
      <c r="BA222" s="76"/>
      <c r="BB222" s="76"/>
    </row>
  </sheetData>
  <dataConsolidate/>
  <mergeCells count="63">
    <mergeCell ref="C182:C183"/>
    <mergeCell ref="C185:C186"/>
    <mergeCell ref="C155:C156"/>
    <mergeCell ref="C158:C159"/>
    <mergeCell ref="C161:C162"/>
    <mergeCell ref="C164:C165"/>
    <mergeCell ref="C167:C168"/>
    <mergeCell ref="C173:C174"/>
    <mergeCell ref="C176:C177"/>
    <mergeCell ref="C179:C180"/>
    <mergeCell ref="C122:C123"/>
    <mergeCell ref="C125:C126"/>
    <mergeCell ref="C128:C129"/>
    <mergeCell ref="C131:C132"/>
    <mergeCell ref="C170:C171"/>
    <mergeCell ref="C134:C135"/>
    <mergeCell ref="C137:C138"/>
    <mergeCell ref="C143:C144"/>
    <mergeCell ref="C146:C147"/>
    <mergeCell ref="C149:C150"/>
    <mergeCell ref="C152:C153"/>
    <mergeCell ref="C119:C120"/>
    <mergeCell ref="C86:C87"/>
    <mergeCell ref="C89:C90"/>
    <mergeCell ref="C92:C93"/>
    <mergeCell ref="C95:C96"/>
    <mergeCell ref="C98:C99"/>
    <mergeCell ref="C101:C102"/>
    <mergeCell ref="C104:C105"/>
    <mergeCell ref="C107:C108"/>
    <mergeCell ref="C110:C111"/>
    <mergeCell ref="C113:C114"/>
    <mergeCell ref="C116:C117"/>
    <mergeCell ref="C41:C42"/>
    <mergeCell ref="C44:C45"/>
    <mergeCell ref="C83:C84"/>
    <mergeCell ref="C50:C51"/>
    <mergeCell ref="C53:C54"/>
    <mergeCell ref="C56:C57"/>
    <mergeCell ref="C59:C60"/>
    <mergeCell ref="C62:C63"/>
    <mergeCell ref="C65:C66"/>
    <mergeCell ref="C68:C69"/>
    <mergeCell ref="C71:C72"/>
    <mergeCell ref="C74:C75"/>
    <mergeCell ref="C77:C78"/>
    <mergeCell ref="C80:C81"/>
    <mergeCell ref="C1:F1"/>
    <mergeCell ref="C140:C141"/>
    <mergeCell ref="E6:E187"/>
    <mergeCell ref="C6:D6"/>
    <mergeCell ref="C8:C9"/>
    <mergeCell ref="C11:C12"/>
    <mergeCell ref="C47:C48"/>
    <mergeCell ref="C14:C15"/>
    <mergeCell ref="C17:C18"/>
    <mergeCell ref="C20:C21"/>
    <mergeCell ref="C23:C24"/>
    <mergeCell ref="C26:C27"/>
    <mergeCell ref="C29:C30"/>
    <mergeCell ref="C32:C33"/>
    <mergeCell ref="C35:C36"/>
    <mergeCell ref="C38:C39"/>
  </mergeCells>
  <dataValidations xWindow="1304" yWindow="686" count="4">
    <dataValidation type="list" allowBlank="1" showInputMessage="1" showErrorMessage="1" sqref="F7:F187" xr:uid="{66308C07-A277-4614-90F9-AECFF1A3C6EB}">
      <formula1>"1"</formula1>
    </dataValidation>
    <dataValidation type="date" allowBlank="1" showInputMessage="1" showErrorMessage="1" sqref="B3" xr:uid="{1CC1A504-7A4C-46C2-8B45-22F9DE64D05D}">
      <formula1>7306</formula1>
      <formula2>43831</formula2>
    </dataValidation>
    <dataValidation type="list" showInputMessage="1" showErrorMessage="1" sqref="B5" xr:uid="{E60F511F-43CB-4FD4-B015-39545E029A83}">
      <formula1>"مرد, زن"</formula1>
    </dataValidation>
    <dataValidation type="list" showInputMessage="1" showErrorMessage="1" sqref="B4" xr:uid="{DBA92219-C3E4-414F-BCC1-AAE5DB9DD0A6}">
      <formula1>"7.1, 7.2, 8.1, 8.2, 9.1, 9.2, 10.1, 10.2, 11.1, 11.2, 12.1, 12.2"</formula1>
    </dataValidation>
  </dataValidations>
  <pageMargins left="0.5" right="0.5" top="0.5" bottom="0.5" header="0.2" footer="0.2"/>
  <pageSetup orientation="portrait" horizontalDpi="4294967293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Button 5">
              <controlPr defaultSize="0" print="0" autoFill="0" autoPict="0" macro="[0]!SubmitForm">
                <anchor moveWithCells="1" sizeWithCells="1">
                  <from>
                    <xdr:col>4</xdr:col>
                    <xdr:colOff>167640</xdr:colOff>
                    <xdr:row>187</xdr:row>
                    <xdr:rowOff>7620</xdr:rowOff>
                  </from>
                  <to>
                    <xdr:col>5</xdr:col>
                    <xdr:colOff>495300</xdr:colOff>
                    <xdr:row>188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L153"/>
  <sheetViews>
    <sheetView rightToLeft="1" zoomScale="90" zoomScaleNormal="90" workbookViewId="0">
      <selection activeCell="A5" sqref="A5"/>
    </sheetView>
  </sheetViews>
  <sheetFormatPr defaultRowHeight="21.6" x14ac:dyDescent="0.65"/>
  <cols>
    <col min="1" max="1" width="14.44140625" style="15" customWidth="1"/>
    <col min="2" max="5" width="14.44140625" style="16" customWidth="1"/>
    <col min="6" max="9" width="10.33203125" style="21" customWidth="1"/>
    <col min="10" max="10" width="14.44140625" style="21" customWidth="1"/>
    <col min="11" max="11" width="9.109375" style="18" customWidth="1"/>
    <col min="12" max="12" width="9.109375" style="19" customWidth="1"/>
    <col min="13" max="16384" width="8.88671875" style="20"/>
  </cols>
  <sheetData>
    <row r="1" spans="2:10" x14ac:dyDescent="0.65">
      <c r="F1" s="17"/>
      <c r="G1" s="17"/>
      <c r="H1" s="17"/>
      <c r="I1" s="17"/>
      <c r="J1" s="12"/>
    </row>
    <row r="2" spans="2:10" ht="22.2" thickBot="1" x14ac:dyDescent="0.7">
      <c r="B2" s="39" t="s">
        <v>47</v>
      </c>
      <c r="C2" s="40" t="s">
        <v>8</v>
      </c>
      <c r="D2" s="41" t="s">
        <v>9</v>
      </c>
      <c r="J2" s="12"/>
    </row>
    <row r="3" spans="2:10" ht="21" customHeight="1" x14ac:dyDescent="0.65">
      <c r="B3" s="37">
        <v>1</v>
      </c>
      <c r="C3" s="14">
        <f>Q!F8</f>
        <v>0</v>
      </c>
      <c r="D3" s="38">
        <f>Q!F9</f>
        <v>0</v>
      </c>
      <c r="F3" s="63" t="s">
        <v>170</v>
      </c>
      <c r="G3" s="64" t="s">
        <v>171</v>
      </c>
      <c r="H3" s="64" t="s">
        <v>169</v>
      </c>
      <c r="I3" s="65" t="s">
        <v>168</v>
      </c>
      <c r="J3" s="12"/>
    </row>
    <row r="4" spans="2:10" x14ac:dyDescent="0.65">
      <c r="B4" s="37">
        <v>2</v>
      </c>
      <c r="C4" s="14">
        <f>Q!F11</f>
        <v>0</v>
      </c>
      <c r="D4" s="38">
        <f>Q!F12</f>
        <v>0</v>
      </c>
      <c r="F4" s="57">
        <f>(C3+C7+C11+C15+C19+C23+C27+C31+C35+C39+C43+C47+C51+C55+C59)</f>
        <v>0</v>
      </c>
      <c r="G4" s="58">
        <f>(C4+C8+C12+C16+C20+C24+C28+C32+C36+C40+C44+C48+C52+C56+C60)</f>
        <v>0</v>
      </c>
      <c r="H4" s="58">
        <f>(C5+C9+C13+C17+C21+C25+C29+C33+C37+C41+C45+C49+C53+C57+C61)</f>
        <v>0</v>
      </c>
      <c r="I4" s="59">
        <f>(D6+D10+D14+D18+D22+D26+D30+D34+D38+D42+D46+D50+D54+D58+D62)</f>
        <v>0</v>
      </c>
      <c r="J4" s="12"/>
    </row>
    <row r="5" spans="2:10" x14ac:dyDescent="0.65">
      <c r="B5" s="37">
        <v>3</v>
      </c>
      <c r="C5" s="14">
        <f>Q!F14</f>
        <v>0</v>
      </c>
      <c r="D5" s="38">
        <f>Q!F15</f>
        <v>0</v>
      </c>
      <c r="F5" s="60">
        <f>15-F$4</f>
        <v>15</v>
      </c>
      <c r="G5" s="61">
        <f>15-G$4</f>
        <v>15</v>
      </c>
      <c r="H5" s="61">
        <f>15-H$4</f>
        <v>15</v>
      </c>
      <c r="I5" s="62">
        <f>15-I$4</f>
        <v>15</v>
      </c>
      <c r="J5" s="12"/>
    </row>
    <row r="6" spans="2:10" x14ac:dyDescent="0.65">
      <c r="B6" s="37">
        <v>4</v>
      </c>
      <c r="C6" s="14">
        <f>Q!F17</f>
        <v>0</v>
      </c>
      <c r="D6" s="38">
        <f>Q!F18</f>
        <v>0</v>
      </c>
      <c r="F6" s="73" t="s">
        <v>2</v>
      </c>
      <c r="G6" s="74" t="s">
        <v>3</v>
      </c>
      <c r="H6" s="74" t="s">
        <v>5</v>
      </c>
      <c r="I6" s="75" t="s">
        <v>7</v>
      </c>
      <c r="J6" s="12"/>
    </row>
    <row r="7" spans="2:10" x14ac:dyDescent="0.65">
      <c r="B7" s="37">
        <v>5</v>
      </c>
      <c r="C7" s="14">
        <f>Q!F20</f>
        <v>0</v>
      </c>
      <c r="D7" s="38">
        <f>Q!F21</f>
        <v>0</v>
      </c>
      <c r="F7" s="73" t="s">
        <v>0</v>
      </c>
      <c r="G7" s="74" t="s">
        <v>1</v>
      </c>
      <c r="H7" s="74" t="s">
        <v>4</v>
      </c>
      <c r="I7" s="75" t="s">
        <v>6</v>
      </c>
      <c r="J7" s="22"/>
    </row>
    <row r="8" spans="2:10" ht="22.2" thickBot="1" x14ac:dyDescent="0.7">
      <c r="B8" s="37">
        <v>6</v>
      </c>
      <c r="C8" s="14">
        <f>Q!F23</f>
        <v>0</v>
      </c>
      <c r="D8" s="38">
        <f>Q!F24</f>
        <v>0</v>
      </c>
      <c r="F8" s="66" t="str">
        <f>IF(F4&gt;7.5,F6,F7)</f>
        <v>E</v>
      </c>
      <c r="G8" s="45" t="str">
        <f>IF(G4&gt;7.5,G6,G7)</f>
        <v>N</v>
      </c>
      <c r="H8" s="45" t="str">
        <f>IF(H4&gt;7.5,H6,H7)</f>
        <v>F</v>
      </c>
      <c r="I8" s="67" t="str">
        <f>IF(I4&gt;7.5,I6,I7)</f>
        <v>P</v>
      </c>
      <c r="J8" s="12"/>
    </row>
    <row r="9" spans="2:10" x14ac:dyDescent="0.65">
      <c r="B9" s="37">
        <v>7</v>
      </c>
      <c r="C9" s="14">
        <f>Q!F26</f>
        <v>0</v>
      </c>
      <c r="D9" s="38">
        <f>Q!F27</f>
        <v>0</v>
      </c>
      <c r="J9" s="12"/>
    </row>
    <row r="10" spans="2:10" x14ac:dyDescent="0.65">
      <c r="B10" s="37">
        <v>8</v>
      </c>
      <c r="C10" s="14">
        <f>Q!F29</f>
        <v>0</v>
      </c>
      <c r="D10" s="38">
        <f>Q!F30</f>
        <v>0</v>
      </c>
      <c r="J10" s="12"/>
    </row>
    <row r="11" spans="2:10" x14ac:dyDescent="0.65">
      <c r="B11" s="37">
        <v>9</v>
      </c>
      <c r="C11" s="14">
        <f>Q!F32</f>
        <v>0</v>
      </c>
      <c r="D11" s="38">
        <f>Q!F33</f>
        <v>0</v>
      </c>
      <c r="F11" s="12"/>
      <c r="G11" s="12"/>
      <c r="H11" s="12"/>
      <c r="I11" s="12"/>
      <c r="J11" s="12"/>
    </row>
    <row r="12" spans="2:10" x14ac:dyDescent="0.65">
      <c r="B12" s="37">
        <v>10</v>
      </c>
      <c r="C12" s="14">
        <f>Q!F35</f>
        <v>0</v>
      </c>
      <c r="D12" s="38">
        <f>Q!F36</f>
        <v>0</v>
      </c>
    </row>
    <row r="13" spans="2:10" ht="21" customHeight="1" x14ac:dyDescent="0.65">
      <c r="B13" s="37">
        <v>11</v>
      </c>
      <c r="C13" s="14">
        <f>Q!F38</f>
        <v>0</v>
      </c>
      <c r="D13" s="38">
        <f>Q!F39</f>
        <v>0</v>
      </c>
    </row>
    <row r="14" spans="2:10" x14ac:dyDescent="0.65">
      <c r="B14" s="37">
        <v>12</v>
      </c>
      <c r="C14" s="14">
        <f>Q!F41</f>
        <v>0</v>
      </c>
      <c r="D14" s="38">
        <f>Q!F42</f>
        <v>0</v>
      </c>
    </row>
    <row r="15" spans="2:10" x14ac:dyDescent="0.65">
      <c r="B15" s="37">
        <v>13</v>
      </c>
      <c r="C15" s="14">
        <f>Q!F44</f>
        <v>0</v>
      </c>
      <c r="D15" s="38">
        <f>Q!F45</f>
        <v>0</v>
      </c>
    </row>
    <row r="16" spans="2:10" x14ac:dyDescent="0.65">
      <c r="B16" s="37">
        <v>14</v>
      </c>
      <c r="C16" s="14">
        <f>Q!F47</f>
        <v>0</v>
      </c>
      <c r="D16" s="38">
        <f>Q!F48</f>
        <v>0</v>
      </c>
    </row>
    <row r="17" spans="2:11" x14ac:dyDescent="0.65">
      <c r="B17" s="37">
        <v>15</v>
      </c>
      <c r="C17" s="14">
        <f>Q!F50</f>
        <v>0</v>
      </c>
      <c r="D17" s="38">
        <f>Q!F51</f>
        <v>0</v>
      </c>
    </row>
    <row r="18" spans="2:11" x14ac:dyDescent="0.65">
      <c r="B18" s="37">
        <v>16</v>
      </c>
      <c r="C18" s="14">
        <f>Q!F53</f>
        <v>0</v>
      </c>
      <c r="D18" s="38">
        <f>Q!F54</f>
        <v>0</v>
      </c>
      <c r="K18" s="23"/>
    </row>
    <row r="19" spans="2:11" x14ac:dyDescent="0.65">
      <c r="B19" s="37">
        <v>17</v>
      </c>
      <c r="C19" s="14">
        <f>Q!F56</f>
        <v>0</v>
      </c>
      <c r="D19" s="38">
        <f>Q!F57</f>
        <v>0</v>
      </c>
      <c r="K19" s="23"/>
    </row>
    <row r="20" spans="2:11" x14ac:dyDescent="0.65">
      <c r="B20" s="37">
        <v>18</v>
      </c>
      <c r="C20" s="14">
        <f>Q!F59</f>
        <v>0</v>
      </c>
      <c r="D20" s="38">
        <f>Q!F60</f>
        <v>0</v>
      </c>
      <c r="K20" s="23"/>
    </row>
    <row r="21" spans="2:11" x14ac:dyDescent="0.65">
      <c r="B21" s="37">
        <v>19</v>
      </c>
      <c r="C21" s="14">
        <f>Q!F62</f>
        <v>0</v>
      </c>
      <c r="D21" s="38">
        <f>Q!F63</f>
        <v>0</v>
      </c>
      <c r="K21" s="24"/>
    </row>
    <row r="22" spans="2:11" x14ac:dyDescent="0.65">
      <c r="B22" s="37">
        <v>20</v>
      </c>
      <c r="C22" s="14">
        <f>Q!F65</f>
        <v>0</v>
      </c>
      <c r="D22" s="38">
        <f>Q!F66</f>
        <v>0</v>
      </c>
      <c r="K22" s="24"/>
    </row>
    <row r="23" spans="2:11" ht="21" customHeight="1" x14ac:dyDescent="0.65">
      <c r="B23" s="37">
        <v>21</v>
      </c>
      <c r="C23" s="14">
        <f>Q!F68</f>
        <v>0</v>
      </c>
      <c r="D23" s="38">
        <f>Q!F69</f>
        <v>0</v>
      </c>
      <c r="K23" s="24"/>
    </row>
    <row r="24" spans="2:11" x14ac:dyDescent="0.65">
      <c r="B24" s="37">
        <v>22</v>
      </c>
      <c r="C24" s="14">
        <f>Q!F71</f>
        <v>0</v>
      </c>
      <c r="D24" s="38">
        <f>Q!F72</f>
        <v>0</v>
      </c>
      <c r="K24" s="24"/>
    </row>
    <row r="25" spans="2:11" x14ac:dyDescent="0.65">
      <c r="B25" s="37">
        <v>23</v>
      </c>
      <c r="C25" s="14">
        <f>Q!F74</f>
        <v>0</v>
      </c>
      <c r="D25" s="38">
        <f>Q!F75</f>
        <v>0</v>
      </c>
      <c r="K25" s="24"/>
    </row>
    <row r="26" spans="2:11" x14ac:dyDescent="0.65">
      <c r="B26" s="37">
        <v>24</v>
      </c>
      <c r="C26" s="14">
        <f>Q!F77</f>
        <v>0</v>
      </c>
      <c r="D26" s="38">
        <f>Q!F78</f>
        <v>0</v>
      </c>
    </row>
    <row r="27" spans="2:11" x14ac:dyDescent="0.65">
      <c r="B27" s="37">
        <v>25</v>
      </c>
      <c r="C27" s="14">
        <f>Q!F80</f>
        <v>0</v>
      </c>
      <c r="D27" s="38">
        <f>Q!F81</f>
        <v>0</v>
      </c>
      <c r="K27" s="24"/>
    </row>
    <row r="28" spans="2:11" x14ac:dyDescent="0.65">
      <c r="B28" s="37">
        <v>26</v>
      </c>
      <c r="C28" s="14">
        <f>Q!F83</f>
        <v>0</v>
      </c>
      <c r="D28" s="38">
        <f>Q!F84</f>
        <v>0</v>
      </c>
      <c r="K28" s="24"/>
    </row>
    <row r="29" spans="2:11" x14ac:dyDescent="0.65">
      <c r="B29" s="37">
        <v>27</v>
      </c>
      <c r="C29" s="14">
        <f>Q!F86</f>
        <v>0</v>
      </c>
      <c r="D29" s="38">
        <f>Q!F87</f>
        <v>0</v>
      </c>
      <c r="K29" s="24"/>
    </row>
    <row r="30" spans="2:11" x14ac:dyDescent="0.65">
      <c r="B30" s="37">
        <v>28</v>
      </c>
      <c r="C30" s="14">
        <f>Q!F89</f>
        <v>0</v>
      </c>
      <c r="D30" s="38">
        <f>Q!F90</f>
        <v>0</v>
      </c>
      <c r="K30" s="24"/>
    </row>
    <row r="31" spans="2:11" x14ac:dyDescent="0.65">
      <c r="B31" s="37">
        <v>29</v>
      </c>
      <c r="C31" s="14">
        <f>Q!F92</f>
        <v>0</v>
      </c>
      <c r="D31" s="38">
        <f>Q!F93</f>
        <v>0</v>
      </c>
      <c r="K31" s="24"/>
    </row>
    <row r="32" spans="2:11" x14ac:dyDescent="0.65">
      <c r="B32" s="37">
        <v>30</v>
      </c>
      <c r="C32" s="14">
        <f>Q!F95</f>
        <v>0</v>
      </c>
      <c r="D32" s="38">
        <f>Q!F96</f>
        <v>0</v>
      </c>
      <c r="K32" s="24"/>
    </row>
    <row r="33" spans="2:4" ht="21" customHeight="1" x14ac:dyDescent="0.65">
      <c r="B33" s="37">
        <v>31</v>
      </c>
      <c r="C33" s="14">
        <f>Q!F98</f>
        <v>0</v>
      </c>
      <c r="D33" s="38">
        <f>Q!F99</f>
        <v>0</v>
      </c>
    </row>
    <row r="34" spans="2:4" x14ac:dyDescent="0.65">
      <c r="B34" s="37">
        <v>32</v>
      </c>
      <c r="C34" s="14">
        <f>Q!F101</f>
        <v>0</v>
      </c>
      <c r="D34" s="38">
        <f>Q!F102</f>
        <v>0</v>
      </c>
    </row>
    <row r="35" spans="2:4" x14ac:dyDescent="0.65">
      <c r="B35" s="37">
        <v>33</v>
      </c>
      <c r="C35" s="14">
        <f>Q!F104</f>
        <v>0</v>
      </c>
      <c r="D35" s="38">
        <f>Q!F105</f>
        <v>0</v>
      </c>
    </row>
    <row r="36" spans="2:4" x14ac:dyDescent="0.65">
      <c r="B36" s="37">
        <v>34</v>
      </c>
      <c r="C36" s="14">
        <f>Q!F107</f>
        <v>0</v>
      </c>
      <c r="D36" s="38">
        <f>Q!F108</f>
        <v>0</v>
      </c>
    </row>
    <row r="37" spans="2:4" x14ac:dyDescent="0.65">
      <c r="B37" s="37">
        <v>35</v>
      </c>
      <c r="C37" s="14">
        <f>Q!F110</f>
        <v>0</v>
      </c>
      <c r="D37" s="38">
        <f>Q!F111</f>
        <v>0</v>
      </c>
    </row>
    <row r="38" spans="2:4" x14ac:dyDescent="0.65">
      <c r="B38" s="37">
        <v>36</v>
      </c>
      <c r="C38" s="14">
        <f>Q!F113</f>
        <v>0</v>
      </c>
      <c r="D38" s="38">
        <f>Q!F114</f>
        <v>0</v>
      </c>
    </row>
    <row r="39" spans="2:4" x14ac:dyDescent="0.65">
      <c r="B39" s="37">
        <v>37</v>
      </c>
      <c r="C39" s="14">
        <f>Q!F116</f>
        <v>0</v>
      </c>
      <c r="D39" s="38">
        <f>Q!F117</f>
        <v>0</v>
      </c>
    </row>
    <row r="40" spans="2:4" x14ac:dyDescent="0.65">
      <c r="B40" s="37">
        <v>38</v>
      </c>
      <c r="C40" s="14">
        <f>Q!F119</f>
        <v>0</v>
      </c>
      <c r="D40" s="38">
        <f>Q!F120</f>
        <v>0</v>
      </c>
    </row>
    <row r="41" spans="2:4" x14ac:dyDescent="0.65">
      <c r="B41" s="37">
        <v>39</v>
      </c>
      <c r="C41" s="14">
        <f>Q!F122</f>
        <v>0</v>
      </c>
      <c r="D41" s="38">
        <f>Q!F123</f>
        <v>0</v>
      </c>
    </row>
    <row r="42" spans="2:4" x14ac:dyDescent="0.65">
      <c r="B42" s="37">
        <v>40</v>
      </c>
      <c r="C42" s="14">
        <f>Q!F125</f>
        <v>0</v>
      </c>
      <c r="D42" s="38">
        <f>Q!F126</f>
        <v>0</v>
      </c>
    </row>
    <row r="43" spans="2:4" ht="21" customHeight="1" x14ac:dyDescent="0.65">
      <c r="B43" s="37">
        <v>41</v>
      </c>
      <c r="C43" s="14">
        <f>Q!F128</f>
        <v>0</v>
      </c>
      <c r="D43" s="38">
        <f>Q!F129</f>
        <v>0</v>
      </c>
    </row>
    <row r="44" spans="2:4" x14ac:dyDescent="0.65">
      <c r="B44" s="37">
        <v>42</v>
      </c>
      <c r="C44" s="14">
        <f>Q!F131</f>
        <v>0</v>
      </c>
      <c r="D44" s="38">
        <f>Q!F132</f>
        <v>0</v>
      </c>
    </row>
    <row r="45" spans="2:4" x14ac:dyDescent="0.65">
      <c r="B45" s="37">
        <v>43</v>
      </c>
      <c r="C45" s="14">
        <f>Q!F134</f>
        <v>0</v>
      </c>
      <c r="D45" s="38">
        <f>Q!F135</f>
        <v>0</v>
      </c>
    </row>
    <row r="46" spans="2:4" x14ac:dyDescent="0.65">
      <c r="B46" s="37">
        <v>44</v>
      </c>
      <c r="C46" s="14">
        <f>Q!F137</f>
        <v>0</v>
      </c>
      <c r="D46" s="38">
        <f>Q!F138</f>
        <v>0</v>
      </c>
    </row>
    <row r="47" spans="2:4" x14ac:dyDescent="0.65">
      <c r="B47" s="37">
        <v>45</v>
      </c>
      <c r="C47" s="14">
        <f>Q!F140</f>
        <v>0</v>
      </c>
      <c r="D47" s="38">
        <f>Q!F141</f>
        <v>0</v>
      </c>
    </row>
    <row r="48" spans="2:4" x14ac:dyDescent="0.65">
      <c r="B48" s="37">
        <v>46</v>
      </c>
      <c r="C48" s="14">
        <f>Q!F143</f>
        <v>0</v>
      </c>
      <c r="D48" s="38">
        <f>Q!F144</f>
        <v>0</v>
      </c>
    </row>
    <row r="49" spans="2:4" x14ac:dyDescent="0.65">
      <c r="B49" s="37">
        <v>47</v>
      </c>
      <c r="C49" s="14">
        <f>Q!F146</f>
        <v>0</v>
      </c>
      <c r="D49" s="38">
        <f>Q!F147</f>
        <v>0</v>
      </c>
    </row>
    <row r="50" spans="2:4" x14ac:dyDescent="0.65">
      <c r="B50" s="37">
        <v>48</v>
      </c>
      <c r="C50" s="14">
        <f>Q!F149</f>
        <v>0</v>
      </c>
      <c r="D50" s="38">
        <f>Q!F150</f>
        <v>0</v>
      </c>
    </row>
    <row r="51" spans="2:4" x14ac:dyDescent="0.65">
      <c r="B51" s="37">
        <v>49</v>
      </c>
      <c r="C51" s="14">
        <f>Q!F152</f>
        <v>0</v>
      </c>
      <c r="D51" s="38">
        <f>Q!F153</f>
        <v>0</v>
      </c>
    </row>
    <row r="52" spans="2:4" x14ac:dyDescent="0.65">
      <c r="B52" s="37">
        <v>50</v>
      </c>
      <c r="C52" s="14">
        <f>Q!F155</f>
        <v>0</v>
      </c>
      <c r="D52" s="38">
        <f>Q!F156</f>
        <v>0</v>
      </c>
    </row>
    <row r="53" spans="2:4" ht="21" customHeight="1" x14ac:dyDescent="0.65">
      <c r="B53" s="37">
        <v>51</v>
      </c>
      <c r="C53" s="14">
        <f>Q!F158</f>
        <v>0</v>
      </c>
      <c r="D53" s="38">
        <f>Q!F159</f>
        <v>0</v>
      </c>
    </row>
    <row r="54" spans="2:4" x14ac:dyDescent="0.65">
      <c r="B54" s="37">
        <v>52</v>
      </c>
      <c r="C54" s="14">
        <f>Q!F161</f>
        <v>0</v>
      </c>
      <c r="D54" s="38">
        <f>Q!F162</f>
        <v>0</v>
      </c>
    </row>
    <row r="55" spans="2:4" x14ac:dyDescent="0.65">
      <c r="B55" s="37">
        <v>53</v>
      </c>
      <c r="C55" s="14">
        <f>Q!F164</f>
        <v>0</v>
      </c>
      <c r="D55" s="38">
        <f>Q!F165</f>
        <v>0</v>
      </c>
    </row>
    <row r="56" spans="2:4" x14ac:dyDescent="0.65">
      <c r="B56" s="37">
        <v>54</v>
      </c>
      <c r="C56" s="14">
        <f>Q!F167</f>
        <v>0</v>
      </c>
      <c r="D56" s="38">
        <f>Q!F168</f>
        <v>0</v>
      </c>
    </row>
    <row r="57" spans="2:4" x14ac:dyDescent="0.65">
      <c r="B57" s="37">
        <v>55</v>
      </c>
      <c r="C57" s="14">
        <f>Q!F170</f>
        <v>0</v>
      </c>
      <c r="D57" s="38">
        <f>Q!F171</f>
        <v>0</v>
      </c>
    </row>
    <row r="58" spans="2:4" x14ac:dyDescent="0.65">
      <c r="B58" s="37">
        <v>56</v>
      </c>
      <c r="C58" s="14">
        <f>Q!F173</f>
        <v>0</v>
      </c>
      <c r="D58" s="38">
        <f>Q!F174</f>
        <v>0</v>
      </c>
    </row>
    <row r="59" spans="2:4" x14ac:dyDescent="0.65">
      <c r="B59" s="37">
        <v>57</v>
      </c>
      <c r="C59" s="14">
        <f>Q!F176</f>
        <v>0</v>
      </c>
      <c r="D59" s="38">
        <f>Q!F177</f>
        <v>0</v>
      </c>
    </row>
    <row r="60" spans="2:4" x14ac:dyDescent="0.65">
      <c r="B60" s="37">
        <v>58</v>
      </c>
      <c r="C60" s="14">
        <f>Q!F179</f>
        <v>0</v>
      </c>
      <c r="D60" s="38">
        <f>Q!F180</f>
        <v>0</v>
      </c>
    </row>
    <row r="61" spans="2:4" x14ac:dyDescent="0.65">
      <c r="B61" s="37">
        <v>59</v>
      </c>
      <c r="C61" s="14">
        <f>Q!F182</f>
        <v>0</v>
      </c>
      <c r="D61" s="38">
        <f>Q!F183</f>
        <v>0</v>
      </c>
    </row>
    <row r="62" spans="2:4" x14ac:dyDescent="0.65">
      <c r="B62" s="42">
        <v>60</v>
      </c>
      <c r="C62" s="43">
        <f>Q!F185</f>
        <v>0</v>
      </c>
      <c r="D62" s="44">
        <f>Q!F186</f>
        <v>0</v>
      </c>
    </row>
    <row r="63" spans="2:4" ht="21" customHeight="1" x14ac:dyDescent="0.65"/>
    <row r="73" ht="21" customHeight="1" x14ac:dyDescent="0.65"/>
    <row r="83" ht="21" customHeight="1" x14ac:dyDescent="0.65"/>
    <row r="93" ht="21" customHeight="1" x14ac:dyDescent="0.65"/>
    <row r="103" ht="21" customHeight="1" x14ac:dyDescent="0.65"/>
    <row r="113" ht="21" customHeight="1" x14ac:dyDescent="0.65"/>
    <row r="123" ht="21" customHeight="1" x14ac:dyDescent="0.65"/>
    <row r="133" ht="21" customHeight="1" x14ac:dyDescent="0.65"/>
    <row r="143" ht="21" customHeight="1" x14ac:dyDescent="0.65"/>
    <row r="153" ht="21" customHeight="1" x14ac:dyDescent="0.65"/>
  </sheetData>
  <conditionalFormatting sqref="F6:I6">
    <cfRule type="expression" dxfId="8" priority="2">
      <formula>F$4&gt;7.5</formula>
    </cfRule>
  </conditionalFormatting>
  <conditionalFormatting sqref="F7:I7">
    <cfRule type="expression" dxfId="7" priority="1">
      <formula>F$4&lt;7.5</formula>
    </cfRule>
  </conditionalFormatting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Y130"/>
  <sheetViews>
    <sheetView rightToLeft="1" zoomScaleNormal="100" workbookViewId="0">
      <selection activeCell="B6" sqref="B6"/>
    </sheetView>
  </sheetViews>
  <sheetFormatPr defaultColWidth="9.109375" defaultRowHeight="21" x14ac:dyDescent="0.25"/>
  <cols>
    <col min="1" max="1" width="9.109375" style="2"/>
    <col min="2" max="2" width="12.6640625" style="1" customWidth="1"/>
    <col min="3" max="3" width="7.33203125" style="1" customWidth="1"/>
    <col min="4" max="4" width="45.21875" style="4" customWidth="1"/>
    <col min="5" max="5" width="16.21875" style="4" customWidth="1"/>
    <col min="6" max="6" width="9.109375" style="5" customWidth="1"/>
    <col min="7" max="7" width="13" style="2" customWidth="1"/>
    <col min="8" max="8" width="6.33203125" style="2" customWidth="1"/>
    <col min="9" max="9" width="13.21875" style="2" customWidth="1"/>
    <col min="10" max="10" width="5.33203125" style="2" customWidth="1"/>
    <col min="11" max="16384" width="9.109375" style="2"/>
  </cols>
  <sheetData>
    <row r="1" spans="1:25" x14ac:dyDescent="0.25">
      <c r="A1" s="46"/>
      <c r="B1" s="33"/>
      <c r="C1" s="33"/>
      <c r="D1" s="47"/>
      <c r="E1" s="47"/>
      <c r="F1" s="48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</row>
    <row r="2" spans="1:25" s="1" customFormat="1" ht="21" customHeight="1" x14ac:dyDescent="0.25">
      <c r="A2" s="33"/>
      <c r="B2" s="111"/>
      <c r="C2" s="111"/>
      <c r="D2" s="111"/>
      <c r="E2" s="111"/>
      <c r="F2" s="111"/>
      <c r="G2" s="111"/>
      <c r="H2" s="111"/>
      <c r="I2" s="111"/>
      <c r="J2" s="111"/>
      <c r="K2" s="33"/>
      <c r="L2" s="33"/>
      <c r="M2" s="33"/>
      <c r="N2" s="33"/>
      <c r="O2" s="33"/>
      <c r="P2" s="33"/>
      <c r="Q2" s="33"/>
      <c r="R2" s="33"/>
      <c r="S2" s="33"/>
      <c r="T2" s="33"/>
    </row>
    <row r="3" spans="1:25" s="1" customFormat="1" ht="21" customHeight="1" x14ac:dyDescent="0.25">
      <c r="A3" s="33"/>
      <c r="B3" s="111"/>
      <c r="C3" s="111"/>
      <c r="D3" s="111"/>
      <c r="E3" s="111"/>
      <c r="F3" s="111"/>
      <c r="G3" s="111"/>
      <c r="H3" s="111"/>
      <c r="I3" s="111"/>
      <c r="J3" s="111"/>
      <c r="K3" s="33"/>
      <c r="L3" s="33"/>
      <c r="M3" s="33"/>
      <c r="N3" s="33"/>
      <c r="O3" s="33"/>
      <c r="P3" s="33"/>
      <c r="Q3" s="33"/>
      <c r="R3" s="33"/>
      <c r="S3" s="33"/>
      <c r="T3" s="33"/>
    </row>
    <row r="4" spans="1:25" ht="21.6" thickBot="1" x14ac:dyDescent="0.3">
      <c r="A4" s="46"/>
      <c r="B4" s="33"/>
      <c r="C4" s="33"/>
      <c r="D4" s="47"/>
      <c r="E4" s="47"/>
      <c r="F4" s="48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</row>
    <row r="5" spans="1:25" s="6" customFormat="1" ht="36.75" customHeight="1" thickBot="1" x14ac:dyDescent="0.3">
      <c r="A5" s="49"/>
      <c r="B5" s="50"/>
      <c r="C5" s="50"/>
      <c r="D5" s="34" t="s">
        <v>48</v>
      </c>
      <c r="E5" s="68" t="str">
        <f>Process!$F$8 &amp; Process!$G$8 &amp; Process!$H$8 &amp; Process!$I$8</f>
        <v>ENFP</v>
      </c>
      <c r="F5" s="35" t="s">
        <v>49</v>
      </c>
      <c r="G5" s="36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</row>
    <row r="6" spans="1:25" ht="21" customHeight="1" x14ac:dyDescent="0.3">
      <c r="A6" s="46"/>
      <c r="B6" s="51"/>
      <c r="C6" s="51"/>
      <c r="D6" s="47"/>
      <c r="E6" s="47"/>
      <c r="F6" s="48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Y6" s="3"/>
    </row>
    <row r="7" spans="1:25" ht="18" x14ac:dyDescent="0.5">
      <c r="A7" s="46"/>
      <c r="B7" s="52"/>
      <c r="C7" s="52"/>
      <c r="D7" s="47"/>
      <c r="E7" s="47"/>
      <c r="F7" s="48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Y7" s="3"/>
    </row>
    <row r="8" spans="1:25" ht="18" x14ac:dyDescent="0.5">
      <c r="A8" s="46"/>
      <c r="B8" s="52"/>
      <c r="C8" s="52"/>
      <c r="D8" s="47"/>
      <c r="E8" s="47"/>
      <c r="F8" s="48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Y8" s="3"/>
    </row>
    <row r="9" spans="1:25" ht="18" x14ac:dyDescent="0.5">
      <c r="A9" s="46"/>
      <c r="B9" s="52"/>
      <c r="C9" s="52"/>
      <c r="D9" s="47"/>
      <c r="E9" s="47"/>
      <c r="F9" s="48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Y9" s="3"/>
    </row>
    <row r="10" spans="1:25" ht="18" x14ac:dyDescent="0.5">
      <c r="A10" s="46"/>
      <c r="B10" s="52"/>
      <c r="C10" s="52"/>
      <c r="D10" s="47"/>
      <c r="E10" s="47"/>
      <c r="F10" s="48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Y10" s="3"/>
    </row>
    <row r="11" spans="1:25" ht="18" x14ac:dyDescent="0.5">
      <c r="A11" s="46"/>
      <c r="B11" s="52"/>
      <c r="C11" s="52"/>
      <c r="D11" s="47"/>
      <c r="E11" s="47"/>
      <c r="F11" s="48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Y11" s="3"/>
    </row>
    <row r="12" spans="1:25" ht="15.6" x14ac:dyDescent="0.3">
      <c r="A12" s="46"/>
      <c r="B12" s="51"/>
      <c r="C12" s="51"/>
      <c r="D12" s="47"/>
      <c r="E12" s="47"/>
      <c r="F12" s="48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</row>
    <row r="13" spans="1:25" ht="18" x14ac:dyDescent="0.5">
      <c r="A13" s="46"/>
      <c r="B13" s="52"/>
      <c r="C13" s="52"/>
      <c r="D13" s="47"/>
      <c r="E13" s="47"/>
      <c r="F13" s="48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</row>
    <row r="14" spans="1:25" ht="18" x14ac:dyDescent="0.5">
      <c r="A14" s="46"/>
      <c r="B14" s="53"/>
      <c r="C14" s="53"/>
      <c r="D14" s="47"/>
      <c r="E14" s="47"/>
      <c r="F14" s="48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</row>
    <row r="15" spans="1:25" ht="21" customHeight="1" x14ac:dyDescent="0.5">
      <c r="A15" s="46"/>
      <c r="B15" s="53"/>
      <c r="C15" s="53"/>
      <c r="D15" s="47"/>
      <c r="E15" s="47"/>
      <c r="F15" s="48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</row>
    <row r="16" spans="1:25" ht="18" x14ac:dyDescent="0.5">
      <c r="A16" s="46"/>
      <c r="B16" s="53"/>
      <c r="C16" s="53"/>
      <c r="D16" s="47"/>
      <c r="E16" s="47"/>
      <c r="F16" s="48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</row>
    <row r="17" spans="1:20" ht="18" x14ac:dyDescent="0.5">
      <c r="A17" s="46"/>
      <c r="B17" s="53"/>
      <c r="C17" s="53"/>
      <c r="D17" s="47"/>
      <c r="E17" s="47"/>
      <c r="F17" s="48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</row>
    <row r="18" spans="1:20" ht="18" x14ac:dyDescent="0.5">
      <c r="A18" s="46"/>
      <c r="B18" s="53"/>
      <c r="C18" s="53"/>
      <c r="D18" s="47"/>
      <c r="E18" s="47"/>
      <c r="F18" s="48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</row>
    <row r="19" spans="1:20" ht="18.600000000000001" x14ac:dyDescent="0.55000000000000004">
      <c r="A19" s="46"/>
      <c r="B19" s="54"/>
      <c r="C19" s="54"/>
      <c r="D19" s="47"/>
      <c r="E19" s="47"/>
      <c r="F19" s="48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</row>
    <row r="20" spans="1:20" ht="18" x14ac:dyDescent="0.5">
      <c r="A20" s="46"/>
      <c r="B20" s="53"/>
      <c r="C20" s="53"/>
      <c r="D20" s="55"/>
      <c r="E20" s="47"/>
      <c r="F20" s="48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</row>
    <row r="21" spans="1:20" ht="18" x14ac:dyDescent="0.5">
      <c r="A21" s="46"/>
      <c r="B21" s="53"/>
      <c r="C21" s="53"/>
      <c r="D21" s="47"/>
      <c r="E21" s="47"/>
      <c r="F21" s="48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</row>
    <row r="22" spans="1:20" ht="18" x14ac:dyDescent="0.5">
      <c r="A22" s="46"/>
      <c r="B22" s="53"/>
      <c r="C22" s="53"/>
      <c r="D22" s="47"/>
      <c r="E22" s="47"/>
      <c r="F22" s="48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</row>
    <row r="23" spans="1:20" ht="18" x14ac:dyDescent="0.5">
      <c r="A23" s="46"/>
      <c r="B23" s="53"/>
      <c r="C23" s="53"/>
      <c r="D23" s="47"/>
      <c r="E23" s="47"/>
      <c r="F23" s="48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</row>
    <row r="24" spans="1:20" ht="18.600000000000001" x14ac:dyDescent="0.55000000000000004">
      <c r="A24" s="46"/>
      <c r="B24" s="54"/>
      <c r="C24" s="54"/>
      <c r="D24" s="47"/>
      <c r="E24" s="47"/>
      <c r="F24" s="48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</row>
    <row r="25" spans="1:20" ht="18" x14ac:dyDescent="0.5">
      <c r="A25" s="46"/>
      <c r="B25" s="53"/>
      <c r="C25" s="53"/>
      <c r="D25" s="47"/>
      <c r="E25" s="47"/>
      <c r="F25" s="48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</row>
    <row r="26" spans="1:20" ht="18" x14ac:dyDescent="0.5">
      <c r="A26" s="46"/>
      <c r="B26" s="53"/>
      <c r="C26" s="53"/>
      <c r="D26" s="47"/>
      <c r="E26" s="47"/>
      <c r="F26" s="48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</row>
    <row r="27" spans="1:20" ht="18" x14ac:dyDescent="0.5">
      <c r="A27" s="46"/>
      <c r="B27" s="53"/>
      <c r="C27" s="53"/>
      <c r="D27" s="47"/>
      <c r="E27" s="47"/>
      <c r="F27" s="48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</row>
    <row r="28" spans="1:20" ht="18" x14ac:dyDescent="0.5">
      <c r="A28" s="46"/>
      <c r="B28" s="53"/>
      <c r="C28" s="53"/>
      <c r="D28" s="47"/>
      <c r="E28" s="47"/>
      <c r="F28" s="48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</row>
    <row r="29" spans="1:20" ht="18" x14ac:dyDescent="0.5">
      <c r="A29" s="46"/>
      <c r="B29" s="53"/>
      <c r="C29" s="53"/>
      <c r="D29" s="47"/>
      <c r="E29" s="47"/>
      <c r="F29" s="48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</row>
    <row r="30" spans="1:20" ht="18" customHeight="1" x14ac:dyDescent="0.55000000000000004">
      <c r="A30" s="46"/>
      <c r="B30" s="54"/>
      <c r="C30" s="54"/>
      <c r="D30" s="47"/>
      <c r="E30" s="47"/>
      <c r="F30" s="48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</row>
    <row r="31" spans="1:20" ht="18" customHeight="1" x14ac:dyDescent="0.6">
      <c r="A31" s="46"/>
      <c r="B31" s="53"/>
      <c r="C31" s="53"/>
      <c r="D31" s="108"/>
      <c r="E31" s="108"/>
      <c r="F31" s="108"/>
      <c r="G31" s="108"/>
      <c r="H31" s="108"/>
      <c r="I31" s="108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</row>
    <row r="32" spans="1:20" ht="18" customHeight="1" x14ac:dyDescent="1.25">
      <c r="A32" s="46"/>
      <c r="B32" s="53"/>
      <c r="C32" s="53"/>
      <c r="D32" s="109"/>
      <c r="E32" s="110"/>
      <c r="F32" s="110"/>
      <c r="G32" s="110"/>
      <c r="H32" s="110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</row>
    <row r="33" spans="1:20" ht="18" x14ac:dyDescent="0.5">
      <c r="A33" s="46"/>
      <c r="B33" s="53"/>
      <c r="C33" s="53"/>
      <c r="D33" s="47"/>
      <c r="E33" s="47"/>
      <c r="F33" s="48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</row>
    <row r="34" spans="1:20" ht="18" x14ac:dyDescent="0.5">
      <c r="A34" s="46"/>
      <c r="B34" s="53"/>
      <c r="C34" s="53"/>
      <c r="D34" s="47"/>
      <c r="E34" s="47"/>
      <c r="F34" s="48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</row>
    <row r="35" spans="1:20" ht="18" x14ac:dyDescent="0.5">
      <c r="A35" s="46"/>
      <c r="B35" s="53"/>
      <c r="C35" s="53"/>
      <c r="D35" s="47"/>
      <c r="E35" s="47"/>
      <c r="F35" s="48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</row>
    <row r="36" spans="1:20" ht="18" x14ac:dyDescent="0.5">
      <c r="A36" s="46"/>
      <c r="B36" s="53"/>
      <c r="C36" s="53"/>
      <c r="D36" s="47"/>
      <c r="E36" s="47"/>
      <c r="F36" s="48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</row>
    <row r="37" spans="1:20" ht="18" x14ac:dyDescent="0.5">
      <c r="A37" s="46"/>
      <c r="B37" s="53"/>
      <c r="C37" s="53"/>
      <c r="D37" s="47"/>
      <c r="E37" s="47"/>
      <c r="F37" s="48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</row>
    <row r="38" spans="1:20" ht="18" x14ac:dyDescent="0.5">
      <c r="A38" s="46"/>
      <c r="B38" s="53"/>
      <c r="C38" s="53"/>
      <c r="D38" s="47"/>
      <c r="E38" s="47"/>
      <c r="F38" s="48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</row>
    <row r="39" spans="1:20" ht="18" x14ac:dyDescent="0.5">
      <c r="A39" s="46"/>
      <c r="B39" s="53"/>
      <c r="C39" s="53"/>
      <c r="D39" s="47"/>
      <c r="E39" s="47"/>
      <c r="F39" s="48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</row>
    <row r="40" spans="1:20" ht="21" customHeight="1" x14ac:dyDescent="0.5">
      <c r="A40" s="46"/>
      <c r="B40" s="53"/>
      <c r="C40" s="53"/>
      <c r="D40" s="47"/>
      <c r="E40" s="47"/>
      <c r="F40" s="48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</row>
    <row r="41" spans="1:20" ht="18" x14ac:dyDescent="0.5">
      <c r="A41" s="46"/>
      <c r="B41" s="53"/>
      <c r="C41" s="53"/>
      <c r="D41" s="47"/>
      <c r="E41" s="47"/>
      <c r="F41" s="48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</row>
    <row r="42" spans="1:20" ht="18.600000000000001" x14ac:dyDescent="0.55000000000000004">
      <c r="A42" s="46"/>
      <c r="B42" s="54"/>
      <c r="C42" s="54"/>
      <c r="D42" s="47"/>
      <c r="E42" s="47"/>
      <c r="F42" s="48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</row>
    <row r="43" spans="1:20" ht="15.6" x14ac:dyDescent="0.3">
      <c r="A43" s="46"/>
      <c r="B43" s="56"/>
      <c r="C43" s="56"/>
      <c r="D43" s="47"/>
      <c r="E43" s="47"/>
      <c r="F43" s="48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</row>
    <row r="44" spans="1:20" ht="18.600000000000001" x14ac:dyDescent="0.55000000000000004">
      <c r="A44" s="46"/>
      <c r="B44" s="54"/>
      <c r="C44" s="54"/>
      <c r="D44" s="47"/>
      <c r="E44" s="47"/>
      <c r="F44" s="48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</row>
    <row r="45" spans="1:20" ht="18" x14ac:dyDescent="0.5">
      <c r="A45" s="46"/>
      <c r="B45" s="53"/>
      <c r="C45" s="53"/>
      <c r="D45" s="47"/>
      <c r="E45" s="47"/>
      <c r="F45" s="48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</row>
    <row r="46" spans="1:20" ht="18" x14ac:dyDescent="0.5">
      <c r="A46" s="46"/>
      <c r="B46" s="53"/>
      <c r="C46" s="53"/>
      <c r="D46" s="47"/>
      <c r="E46" s="47"/>
      <c r="F46" s="48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</row>
    <row r="47" spans="1:20" ht="18" x14ac:dyDescent="0.5">
      <c r="A47" s="46"/>
      <c r="B47" s="53"/>
      <c r="C47" s="53"/>
      <c r="D47" s="47"/>
      <c r="E47" s="47"/>
      <c r="F47" s="48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</row>
    <row r="48" spans="1:20" ht="18" x14ac:dyDescent="0.5">
      <c r="A48" s="46"/>
      <c r="B48" s="53"/>
      <c r="C48" s="53"/>
      <c r="D48" s="47"/>
      <c r="E48" s="47"/>
      <c r="F48" s="48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</row>
    <row r="49" spans="1:20" ht="18" x14ac:dyDescent="0.5">
      <c r="A49" s="46"/>
      <c r="B49" s="53"/>
      <c r="C49" s="53"/>
      <c r="D49" s="47"/>
      <c r="E49" s="47"/>
      <c r="F49" s="48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</row>
    <row r="50" spans="1:20" ht="21" customHeight="1" x14ac:dyDescent="0.5">
      <c r="A50" s="46"/>
      <c r="B50" s="53"/>
      <c r="C50" s="53"/>
      <c r="D50" s="47"/>
      <c r="E50" s="47"/>
      <c r="F50" s="48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</row>
    <row r="51" spans="1:20" ht="18" x14ac:dyDescent="0.5">
      <c r="A51" s="46"/>
      <c r="B51" s="53"/>
      <c r="C51" s="53"/>
      <c r="D51" s="47"/>
      <c r="E51" s="47"/>
      <c r="F51" s="48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</row>
    <row r="52" spans="1:20" ht="18" x14ac:dyDescent="0.5">
      <c r="A52" s="46"/>
      <c r="B52" s="53"/>
      <c r="C52" s="53"/>
      <c r="D52" s="47"/>
      <c r="E52" s="47"/>
      <c r="F52" s="48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</row>
    <row r="53" spans="1:20" ht="18" x14ac:dyDescent="0.5">
      <c r="A53" s="46"/>
      <c r="B53" s="53"/>
      <c r="C53" s="53"/>
      <c r="D53" s="47"/>
      <c r="E53" s="47"/>
      <c r="F53" s="48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</row>
    <row r="54" spans="1:20" ht="18" x14ac:dyDescent="0.5">
      <c r="A54" s="46"/>
      <c r="B54" s="53"/>
      <c r="C54" s="53"/>
      <c r="D54" s="47"/>
      <c r="E54" s="47"/>
      <c r="F54" s="48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</row>
    <row r="55" spans="1:20" ht="18" x14ac:dyDescent="0.5">
      <c r="A55" s="46"/>
      <c r="B55" s="53"/>
      <c r="C55" s="53"/>
      <c r="D55" s="47"/>
      <c r="E55" s="47"/>
      <c r="F55" s="48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</row>
    <row r="56" spans="1:20" ht="18" x14ac:dyDescent="0.5">
      <c r="A56" s="46"/>
      <c r="B56" s="53"/>
      <c r="C56" s="53"/>
      <c r="D56" s="47"/>
      <c r="E56" s="47"/>
      <c r="F56" s="48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</row>
    <row r="57" spans="1:20" x14ac:dyDescent="0.25">
      <c r="A57" s="46"/>
      <c r="B57" s="33"/>
      <c r="C57" s="33"/>
      <c r="D57" s="47"/>
      <c r="E57" s="47"/>
      <c r="F57" s="48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</row>
    <row r="58" spans="1:20" x14ac:dyDescent="0.25">
      <c r="A58" s="46"/>
      <c r="B58" s="33"/>
      <c r="C58" s="33"/>
      <c r="D58" s="47"/>
      <c r="E58" s="47"/>
      <c r="F58" s="48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</row>
    <row r="59" spans="1:20" x14ac:dyDescent="0.25">
      <c r="A59" s="46"/>
      <c r="B59" s="33"/>
      <c r="C59" s="33"/>
      <c r="D59" s="47"/>
      <c r="E59" s="47"/>
      <c r="F59" s="48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</row>
    <row r="60" spans="1:20" ht="21" customHeight="1" x14ac:dyDescent="0.25">
      <c r="A60" s="46"/>
      <c r="B60" s="33"/>
      <c r="C60" s="33"/>
      <c r="D60" s="47"/>
      <c r="E60" s="47"/>
      <c r="F60" s="48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</row>
    <row r="61" spans="1:20" x14ac:dyDescent="0.25">
      <c r="A61" s="46"/>
      <c r="B61" s="33"/>
      <c r="C61" s="33"/>
      <c r="D61" s="47"/>
      <c r="E61" s="47"/>
      <c r="F61" s="48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</row>
    <row r="62" spans="1:20" x14ac:dyDescent="0.25">
      <c r="A62" s="46"/>
      <c r="B62" s="33"/>
      <c r="C62" s="33"/>
      <c r="D62" s="47"/>
      <c r="E62" s="47"/>
      <c r="F62" s="48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</row>
    <row r="63" spans="1:20" x14ac:dyDescent="0.25">
      <c r="A63" s="46"/>
      <c r="B63" s="33"/>
      <c r="C63" s="33"/>
      <c r="D63" s="47"/>
      <c r="E63" s="47"/>
      <c r="F63" s="48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</row>
    <row r="64" spans="1:20" x14ac:dyDescent="0.25">
      <c r="A64" s="46"/>
      <c r="B64" s="33"/>
      <c r="C64" s="33"/>
      <c r="D64" s="47"/>
      <c r="E64" s="47"/>
      <c r="F64" s="48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</row>
    <row r="65" spans="1:20" x14ac:dyDescent="0.25">
      <c r="A65" s="46"/>
      <c r="B65" s="33"/>
      <c r="C65" s="33"/>
      <c r="D65" s="47"/>
      <c r="E65" s="47"/>
      <c r="F65" s="48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</row>
    <row r="66" spans="1:20" x14ac:dyDescent="0.25">
      <c r="A66" s="46"/>
      <c r="B66" s="33"/>
      <c r="C66" s="33"/>
      <c r="D66" s="47"/>
      <c r="E66" s="47"/>
      <c r="F66" s="48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</row>
    <row r="67" spans="1:20" x14ac:dyDescent="0.25">
      <c r="A67" s="46"/>
      <c r="B67" s="33"/>
      <c r="C67" s="33"/>
      <c r="D67" s="47"/>
      <c r="E67" s="47"/>
      <c r="F67" s="48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</row>
    <row r="68" spans="1:20" x14ac:dyDescent="0.25">
      <c r="A68" s="46"/>
      <c r="B68" s="33"/>
      <c r="C68" s="33"/>
      <c r="D68" s="47"/>
      <c r="E68" s="47"/>
      <c r="F68" s="48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</row>
    <row r="69" spans="1:20" x14ac:dyDescent="0.25">
      <c r="A69" s="46"/>
      <c r="B69" s="33"/>
      <c r="C69" s="33"/>
      <c r="D69" s="47"/>
      <c r="E69" s="47"/>
      <c r="F69" s="48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</row>
    <row r="70" spans="1:20" ht="21" customHeight="1" x14ac:dyDescent="0.25">
      <c r="A70" s="46"/>
      <c r="B70" s="33"/>
      <c r="C70" s="33"/>
      <c r="D70" s="47"/>
      <c r="E70" s="47"/>
      <c r="F70" s="48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</row>
    <row r="71" spans="1:20" x14ac:dyDescent="0.25">
      <c r="A71" s="46"/>
      <c r="B71" s="33"/>
      <c r="C71" s="33"/>
      <c r="D71" s="47"/>
      <c r="E71" s="47"/>
      <c r="F71" s="48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</row>
    <row r="72" spans="1:20" x14ac:dyDescent="0.25">
      <c r="A72" s="46"/>
      <c r="B72" s="33"/>
      <c r="C72" s="33"/>
      <c r="D72" s="47"/>
      <c r="E72" s="47"/>
      <c r="F72" s="48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</row>
    <row r="73" spans="1:20" x14ac:dyDescent="0.25">
      <c r="A73" s="46"/>
      <c r="B73" s="33"/>
      <c r="C73" s="33"/>
      <c r="D73" s="47"/>
      <c r="E73" s="47"/>
      <c r="F73" s="48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</row>
    <row r="74" spans="1:20" x14ac:dyDescent="0.25">
      <c r="A74" s="46"/>
      <c r="B74" s="33"/>
      <c r="C74" s="33"/>
      <c r="D74" s="47"/>
      <c r="E74" s="47"/>
      <c r="F74" s="48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</row>
    <row r="75" spans="1:20" x14ac:dyDescent="0.25">
      <c r="A75" s="46"/>
      <c r="B75" s="33"/>
      <c r="C75" s="33"/>
      <c r="D75" s="47"/>
      <c r="E75" s="47"/>
      <c r="F75" s="48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</row>
    <row r="76" spans="1:20" x14ac:dyDescent="0.25">
      <c r="A76" s="46"/>
      <c r="B76" s="33"/>
      <c r="C76" s="33"/>
      <c r="D76" s="47"/>
      <c r="E76" s="47"/>
      <c r="F76" s="48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</row>
    <row r="77" spans="1:20" x14ac:dyDescent="0.25">
      <c r="A77" s="46"/>
      <c r="B77" s="33"/>
      <c r="C77" s="33"/>
      <c r="D77" s="47"/>
      <c r="E77" s="47"/>
      <c r="F77" s="48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</row>
    <row r="78" spans="1:20" x14ac:dyDescent="0.25">
      <c r="A78" s="46"/>
      <c r="B78" s="33"/>
      <c r="C78" s="33"/>
      <c r="D78" s="47"/>
      <c r="E78" s="47"/>
      <c r="F78" s="48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</row>
    <row r="79" spans="1:20" x14ac:dyDescent="0.25">
      <c r="A79" s="46"/>
      <c r="B79" s="33"/>
      <c r="C79" s="33"/>
      <c r="D79" s="47"/>
      <c r="E79" s="47"/>
      <c r="F79" s="48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</row>
    <row r="80" spans="1:20" ht="21" customHeight="1" x14ac:dyDescent="0.25">
      <c r="A80" s="46"/>
      <c r="B80" s="33"/>
      <c r="C80" s="33"/>
      <c r="D80" s="47"/>
      <c r="E80" s="47"/>
      <c r="F80" s="48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</row>
    <row r="81" spans="1:20" x14ac:dyDescent="0.25">
      <c r="A81" s="46"/>
      <c r="B81" s="33"/>
      <c r="C81" s="33"/>
      <c r="D81" s="47"/>
      <c r="E81" s="47"/>
      <c r="F81" s="48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</row>
    <row r="82" spans="1:20" x14ac:dyDescent="0.25">
      <c r="A82" s="46"/>
      <c r="B82" s="33"/>
      <c r="C82" s="33"/>
      <c r="D82" s="47"/>
      <c r="E82" s="47"/>
      <c r="F82" s="48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</row>
    <row r="83" spans="1:20" x14ac:dyDescent="0.25">
      <c r="A83" s="46"/>
      <c r="B83" s="33"/>
      <c r="C83" s="33"/>
      <c r="D83" s="47"/>
      <c r="E83" s="47"/>
      <c r="F83" s="48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</row>
    <row r="84" spans="1:20" x14ac:dyDescent="0.25">
      <c r="A84" s="46"/>
      <c r="B84" s="33"/>
      <c r="C84" s="33"/>
      <c r="D84" s="47"/>
      <c r="E84" s="47"/>
      <c r="F84" s="48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</row>
    <row r="85" spans="1:20" x14ac:dyDescent="0.25">
      <c r="A85" s="46"/>
      <c r="B85" s="33"/>
      <c r="C85" s="33"/>
      <c r="D85" s="47"/>
      <c r="E85" s="47"/>
      <c r="F85" s="48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</row>
    <row r="86" spans="1:20" x14ac:dyDescent="0.25">
      <c r="A86" s="46"/>
      <c r="B86" s="33"/>
      <c r="C86" s="33"/>
      <c r="D86" s="47"/>
      <c r="E86" s="47"/>
      <c r="F86" s="48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</row>
    <row r="87" spans="1:20" x14ac:dyDescent="0.25">
      <c r="A87" s="46"/>
      <c r="B87" s="33"/>
      <c r="C87" s="33"/>
      <c r="D87" s="47"/>
      <c r="E87" s="47"/>
      <c r="F87" s="48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</row>
    <row r="88" spans="1:20" x14ac:dyDescent="0.25">
      <c r="A88" s="46"/>
      <c r="B88" s="33"/>
      <c r="C88" s="33"/>
      <c r="D88" s="47"/>
      <c r="E88" s="47"/>
      <c r="F88" s="48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</row>
    <row r="89" spans="1:20" x14ac:dyDescent="0.25">
      <c r="A89" s="46"/>
      <c r="B89" s="33"/>
      <c r="C89" s="33"/>
      <c r="D89" s="47"/>
      <c r="E89" s="47"/>
      <c r="F89" s="48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</row>
    <row r="90" spans="1:20" ht="21" customHeight="1" x14ac:dyDescent="0.25">
      <c r="A90" s="46"/>
      <c r="B90" s="33"/>
      <c r="C90" s="33"/>
      <c r="D90" s="47"/>
      <c r="E90" s="47"/>
      <c r="F90" s="48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</row>
    <row r="91" spans="1:20" x14ac:dyDescent="0.25">
      <c r="A91" s="46"/>
      <c r="B91" s="33"/>
      <c r="C91" s="33"/>
      <c r="D91" s="47"/>
      <c r="E91" s="47"/>
      <c r="F91" s="48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</row>
    <row r="92" spans="1:20" x14ac:dyDescent="0.25">
      <c r="A92" s="46"/>
      <c r="B92" s="33"/>
      <c r="C92" s="33"/>
      <c r="D92" s="47"/>
      <c r="E92" s="47"/>
      <c r="F92" s="48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</row>
    <row r="93" spans="1:20" x14ac:dyDescent="0.25">
      <c r="A93" s="46"/>
      <c r="B93" s="33"/>
      <c r="C93" s="33"/>
      <c r="D93" s="47"/>
      <c r="E93" s="47"/>
      <c r="F93" s="48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</row>
    <row r="94" spans="1:20" x14ac:dyDescent="0.25">
      <c r="A94" s="46"/>
      <c r="B94" s="33"/>
      <c r="C94" s="33"/>
      <c r="D94" s="47"/>
      <c r="E94" s="47"/>
      <c r="F94" s="48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</row>
    <row r="95" spans="1:20" x14ac:dyDescent="0.25">
      <c r="A95" s="46"/>
      <c r="B95" s="33"/>
      <c r="C95" s="33"/>
      <c r="D95" s="47"/>
      <c r="E95" s="47"/>
      <c r="F95" s="48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</row>
    <row r="96" spans="1:20" x14ac:dyDescent="0.25">
      <c r="A96" s="46"/>
      <c r="B96" s="33"/>
      <c r="C96" s="33"/>
      <c r="D96" s="47"/>
      <c r="E96" s="47"/>
      <c r="F96" s="48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</row>
    <row r="97" spans="1:20" x14ac:dyDescent="0.25">
      <c r="A97" s="46"/>
      <c r="B97" s="33"/>
      <c r="C97" s="33"/>
      <c r="D97" s="47"/>
      <c r="E97" s="47"/>
      <c r="F97" s="48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</row>
    <row r="98" spans="1:20" x14ac:dyDescent="0.25">
      <c r="A98" s="46"/>
      <c r="B98" s="33"/>
      <c r="C98" s="33"/>
      <c r="D98" s="47"/>
      <c r="E98" s="47"/>
      <c r="F98" s="48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</row>
    <row r="99" spans="1:20" x14ac:dyDescent="0.25">
      <c r="A99" s="46"/>
      <c r="B99" s="33"/>
      <c r="C99" s="33"/>
      <c r="D99" s="47"/>
      <c r="E99" s="47"/>
      <c r="F99" s="48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</row>
    <row r="100" spans="1:20" ht="21" customHeight="1" x14ac:dyDescent="0.25">
      <c r="A100" s="46"/>
      <c r="B100" s="33"/>
      <c r="C100" s="33"/>
      <c r="D100" s="47"/>
      <c r="E100" s="47"/>
      <c r="F100" s="48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</row>
    <row r="101" spans="1:20" x14ac:dyDescent="0.25">
      <c r="A101" s="46"/>
      <c r="B101" s="33"/>
      <c r="C101" s="33"/>
      <c r="D101" s="47"/>
      <c r="E101" s="47"/>
      <c r="F101" s="48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</row>
    <row r="102" spans="1:20" x14ac:dyDescent="0.25">
      <c r="A102" s="46"/>
      <c r="B102" s="33"/>
      <c r="C102" s="33"/>
      <c r="D102" s="47"/>
      <c r="E102" s="47"/>
      <c r="F102" s="48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</row>
    <row r="103" spans="1:20" x14ac:dyDescent="0.25">
      <c r="A103" s="46"/>
      <c r="B103" s="33"/>
      <c r="C103" s="33"/>
      <c r="D103" s="47"/>
      <c r="E103" s="47"/>
      <c r="F103" s="48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</row>
    <row r="104" spans="1:20" x14ac:dyDescent="0.25">
      <c r="A104" s="46"/>
      <c r="B104" s="33"/>
      <c r="C104" s="33"/>
      <c r="D104" s="47"/>
      <c r="E104" s="47"/>
      <c r="F104" s="48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</row>
    <row r="105" spans="1:20" x14ac:dyDescent="0.25">
      <c r="A105" s="46"/>
      <c r="B105" s="33"/>
      <c r="C105" s="33"/>
      <c r="D105" s="47"/>
      <c r="E105" s="47"/>
      <c r="F105" s="48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</row>
    <row r="106" spans="1:20" x14ac:dyDescent="0.25">
      <c r="A106" s="46"/>
      <c r="B106" s="33"/>
      <c r="C106" s="33"/>
      <c r="D106" s="47"/>
      <c r="E106" s="47"/>
      <c r="F106" s="48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</row>
    <row r="107" spans="1:20" x14ac:dyDescent="0.25">
      <c r="A107" s="46"/>
      <c r="B107" s="33"/>
      <c r="C107" s="33"/>
      <c r="D107" s="47"/>
      <c r="E107" s="47"/>
      <c r="F107" s="48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</row>
    <row r="110" spans="1:20" ht="21" customHeight="1" x14ac:dyDescent="0.25"/>
    <row r="120" ht="21" customHeight="1" x14ac:dyDescent="0.25"/>
    <row r="130" ht="21" customHeight="1" x14ac:dyDescent="0.25"/>
  </sheetData>
  <mergeCells count="3">
    <mergeCell ref="D31:I31"/>
    <mergeCell ref="D32:H32"/>
    <mergeCell ref="B2:J3"/>
  </mergeCells>
  <printOptions horizontalCentered="1"/>
  <pageMargins left="0.5" right="0.5" top="0.5" bottom="0.5" header="0.2" footer="0.2"/>
  <pageSetup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6BEEB-4C06-484B-A841-AF413F9AD809}">
  <sheetPr codeName="Sheet2"/>
  <dimension ref="A1:BL31"/>
  <sheetViews>
    <sheetView rightToLeft="1" workbookViewId="0">
      <selection activeCell="B3" sqref="B3"/>
    </sheetView>
  </sheetViews>
  <sheetFormatPr defaultRowHeight="13.2" x14ac:dyDescent="0.25"/>
  <cols>
    <col min="1" max="1" width="22.44140625" customWidth="1"/>
    <col min="2" max="8" width="10.5546875" customWidth="1"/>
    <col min="10" max="10" width="17.33203125" customWidth="1"/>
    <col min="11" max="12" width="8.88671875" customWidth="1"/>
  </cols>
  <sheetData>
    <row r="1" spans="1:11" ht="21.6" x14ac:dyDescent="0.25">
      <c r="A1" s="13" t="s">
        <v>45</v>
      </c>
      <c r="B1" s="12" t="s">
        <v>46</v>
      </c>
      <c r="C1" s="112" t="s">
        <v>13</v>
      </c>
      <c r="D1" s="112" t="s">
        <v>14</v>
      </c>
      <c r="E1" s="112" t="s">
        <v>15</v>
      </c>
      <c r="F1" s="112" t="s">
        <v>16</v>
      </c>
      <c r="G1" s="13" t="s">
        <v>175</v>
      </c>
    </row>
    <row r="2" spans="1:11" ht="21.6" x14ac:dyDescent="0.25">
      <c r="A2" s="13" t="s">
        <v>17</v>
      </c>
      <c r="B2" s="12">
        <v>10.1</v>
      </c>
      <c r="C2" s="12">
        <v>12</v>
      </c>
      <c r="D2" s="12">
        <v>12</v>
      </c>
      <c r="E2" s="12">
        <v>14</v>
      </c>
      <c r="F2" s="12">
        <v>6</v>
      </c>
      <c r="G2" s="13" t="str">
        <f>IF(Table1[[#This Row],[I-E]]&gt;7.5,"I","E") &amp; IF(Table1[[#This Row],[S-N]]&gt;7.5,"S","N") &amp; IF(Table1[[#This Row],[T-F]]&gt;7.5,"T","F") &amp; IF(Table1[[#This Row],[J-P]]&gt;7.5,"J","P")</f>
        <v>ISTP</v>
      </c>
    </row>
    <row r="3" spans="1:11" ht="21.6" x14ac:dyDescent="0.25">
      <c r="A3" s="13" t="s">
        <v>18</v>
      </c>
      <c r="B3" s="12">
        <v>10.1</v>
      </c>
      <c r="C3" s="12">
        <v>2</v>
      </c>
      <c r="D3" s="12">
        <v>5</v>
      </c>
      <c r="E3" s="12">
        <v>5</v>
      </c>
      <c r="F3" s="12">
        <v>11</v>
      </c>
      <c r="G3" s="13" t="str">
        <f>IF(Table1[[#This Row],[I-E]]&gt;7.5,"I","E") &amp; IF(Table1[[#This Row],[S-N]]&gt;7.5,"S","N") &amp; IF(Table1[[#This Row],[T-F]]&gt;7.5,"T","F") &amp; IF(Table1[[#This Row],[J-P]]&gt;7.5,"J","P")</f>
        <v>ENFJ</v>
      </c>
    </row>
    <row r="4" spans="1:11" ht="21.6" x14ac:dyDescent="0.25">
      <c r="A4" s="13" t="s">
        <v>19</v>
      </c>
      <c r="B4" s="12">
        <v>10.1</v>
      </c>
      <c r="C4" s="12">
        <v>12</v>
      </c>
      <c r="D4" s="12">
        <v>6</v>
      </c>
      <c r="E4" s="12">
        <v>13</v>
      </c>
      <c r="F4" s="12">
        <v>1</v>
      </c>
      <c r="G4" s="13" t="str">
        <f>IF(Table1[[#This Row],[I-E]]&gt;7.5,"I","E") &amp; IF(Table1[[#This Row],[S-N]]&gt;7.5,"S","N") &amp; IF(Table1[[#This Row],[T-F]]&gt;7.5,"T","F") &amp; IF(Table1[[#This Row],[J-P]]&gt;7.5,"J","P")</f>
        <v>INTP</v>
      </c>
      <c r="J4" s="101"/>
      <c r="K4" s="101"/>
    </row>
    <row r="5" spans="1:11" ht="21.6" x14ac:dyDescent="0.25">
      <c r="A5" s="13" t="s">
        <v>20</v>
      </c>
      <c r="B5" s="12">
        <v>10.1</v>
      </c>
      <c r="C5" s="12">
        <v>14</v>
      </c>
      <c r="D5" s="12">
        <v>10</v>
      </c>
      <c r="E5" s="12">
        <v>14</v>
      </c>
      <c r="F5" s="12">
        <v>9</v>
      </c>
      <c r="G5" s="13" t="str">
        <f>IF(Table1[[#This Row],[I-E]]&gt;7.5,"I","E") &amp; IF(Table1[[#This Row],[S-N]]&gt;7.5,"S","N") &amp; IF(Table1[[#This Row],[T-F]]&gt;7.5,"T","F") &amp; IF(Table1[[#This Row],[J-P]]&gt;7.5,"J","P")</f>
        <v>ISTJ</v>
      </c>
      <c r="J5" s="101"/>
    </row>
    <row r="6" spans="1:11" ht="21.6" x14ac:dyDescent="0.25">
      <c r="A6" s="13" t="s">
        <v>21</v>
      </c>
      <c r="B6" s="12">
        <v>10.1</v>
      </c>
      <c r="C6" s="12">
        <v>8</v>
      </c>
      <c r="D6" s="12">
        <v>7</v>
      </c>
      <c r="E6" s="12">
        <v>14</v>
      </c>
      <c r="F6" s="12">
        <v>10</v>
      </c>
      <c r="G6" s="13" t="str">
        <f>IF(Table1[[#This Row],[I-E]]&gt;7.5,"I","E") &amp; IF(Table1[[#This Row],[S-N]]&gt;7.5,"S","N") &amp; IF(Table1[[#This Row],[T-F]]&gt;7.5,"T","F") &amp; IF(Table1[[#This Row],[J-P]]&gt;7.5,"J","P")</f>
        <v>INTJ</v>
      </c>
      <c r="J6" s="101"/>
      <c r="K6" s="101"/>
    </row>
    <row r="7" spans="1:11" ht="21.6" x14ac:dyDescent="0.25">
      <c r="A7" s="13" t="s">
        <v>22</v>
      </c>
      <c r="B7" s="12">
        <v>10.1</v>
      </c>
      <c r="C7" s="12">
        <v>9</v>
      </c>
      <c r="D7" s="12">
        <v>10</v>
      </c>
      <c r="E7" s="12">
        <v>13</v>
      </c>
      <c r="F7" s="12">
        <v>2</v>
      </c>
      <c r="G7" s="13" t="str">
        <f>IF(Table1[[#This Row],[I-E]]&gt;7.5,"I","E") &amp; IF(Table1[[#This Row],[S-N]]&gt;7.5,"S","N") &amp; IF(Table1[[#This Row],[T-F]]&gt;7.5,"T","F") &amp; IF(Table1[[#This Row],[J-P]]&gt;7.5,"J","P")</f>
        <v>ISTP</v>
      </c>
    </row>
    <row r="8" spans="1:11" ht="21.6" x14ac:dyDescent="0.25">
      <c r="A8" s="13" t="s">
        <v>23</v>
      </c>
      <c r="B8" s="12">
        <v>9.1</v>
      </c>
      <c r="C8" s="12">
        <v>7</v>
      </c>
      <c r="D8" s="12">
        <v>4</v>
      </c>
      <c r="E8" s="12">
        <v>11</v>
      </c>
      <c r="F8" s="12">
        <v>6</v>
      </c>
      <c r="G8" s="13" t="str">
        <f>IF(Table1[[#This Row],[I-E]]&gt;7.5,"I","E") &amp; IF(Table1[[#This Row],[S-N]]&gt;7.5,"S","N") &amp; IF(Table1[[#This Row],[T-F]]&gt;7.5,"T","F") &amp; IF(Table1[[#This Row],[J-P]]&gt;7.5,"J","P")</f>
        <v>ENTP</v>
      </c>
    </row>
    <row r="9" spans="1:11" ht="21.6" x14ac:dyDescent="0.25">
      <c r="A9" s="13" t="s">
        <v>24</v>
      </c>
      <c r="B9" s="12">
        <v>9.1</v>
      </c>
      <c r="C9" s="12">
        <v>7</v>
      </c>
      <c r="D9" s="12">
        <v>5</v>
      </c>
      <c r="E9" s="12">
        <v>12</v>
      </c>
      <c r="F9" s="12">
        <v>4</v>
      </c>
      <c r="G9" s="13" t="str">
        <f>IF(Table1[[#This Row],[I-E]]&gt;7.5,"I","E") &amp; IF(Table1[[#This Row],[S-N]]&gt;7.5,"S","N") &amp; IF(Table1[[#This Row],[T-F]]&gt;7.5,"T","F") &amp; IF(Table1[[#This Row],[J-P]]&gt;7.5,"J","P")</f>
        <v>ENTP</v>
      </c>
    </row>
    <row r="10" spans="1:11" ht="21.6" x14ac:dyDescent="0.25">
      <c r="A10" s="13" t="s">
        <v>25</v>
      </c>
      <c r="B10" s="12">
        <v>9.1</v>
      </c>
      <c r="C10" s="12">
        <v>12</v>
      </c>
      <c r="D10" s="12">
        <v>5</v>
      </c>
      <c r="E10" s="12">
        <v>9</v>
      </c>
      <c r="F10" s="12">
        <v>3</v>
      </c>
      <c r="G10" s="13" t="str">
        <f>IF(Table1[[#This Row],[I-E]]&gt;7.5,"I","E") &amp; IF(Table1[[#This Row],[S-N]]&gt;7.5,"S","N") &amp; IF(Table1[[#This Row],[T-F]]&gt;7.5,"T","F") &amp; IF(Table1[[#This Row],[J-P]]&gt;7.5,"J","P")</f>
        <v>INTP</v>
      </c>
    </row>
    <row r="11" spans="1:11" ht="21.6" x14ac:dyDescent="0.25">
      <c r="A11" s="13" t="s">
        <v>26</v>
      </c>
      <c r="B11" s="12">
        <v>8.1</v>
      </c>
      <c r="C11" s="12">
        <v>10</v>
      </c>
      <c r="D11" s="12">
        <v>5</v>
      </c>
      <c r="E11" s="12">
        <v>6</v>
      </c>
      <c r="F11" s="12">
        <v>4</v>
      </c>
      <c r="G11" s="13" t="str">
        <f>IF(Table1[[#This Row],[I-E]]&gt;7.5,"I","E") &amp; IF(Table1[[#This Row],[S-N]]&gt;7.5,"S","N") &amp; IF(Table1[[#This Row],[T-F]]&gt;7.5,"T","F") &amp; IF(Table1[[#This Row],[J-P]]&gt;7.5,"J","P")</f>
        <v>INFP</v>
      </c>
    </row>
    <row r="12" spans="1:11" ht="21.6" x14ac:dyDescent="0.25">
      <c r="A12" s="13" t="s">
        <v>27</v>
      </c>
      <c r="B12" s="12">
        <v>8.1</v>
      </c>
      <c r="C12" s="12">
        <v>12</v>
      </c>
      <c r="D12" s="12">
        <v>5</v>
      </c>
      <c r="E12" s="12">
        <v>14</v>
      </c>
      <c r="F12" s="12">
        <v>3</v>
      </c>
      <c r="G12" s="13" t="str">
        <f>IF(Table1[[#This Row],[I-E]]&gt;7.5,"I","E") &amp; IF(Table1[[#This Row],[S-N]]&gt;7.5,"S","N") &amp; IF(Table1[[#This Row],[T-F]]&gt;7.5,"T","F") &amp; IF(Table1[[#This Row],[J-P]]&gt;7.5,"J","P")</f>
        <v>INTP</v>
      </c>
    </row>
    <row r="13" spans="1:11" ht="21.6" x14ac:dyDescent="0.25">
      <c r="A13" s="13" t="s">
        <v>28</v>
      </c>
      <c r="B13" s="12">
        <v>8.1</v>
      </c>
      <c r="C13" s="12">
        <v>14</v>
      </c>
      <c r="D13" s="12">
        <v>6</v>
      </c>
      <c r="E13" s="12">
        <v>14</v>
      </c>
      <c r="F13" s="12">
        <v>10</v>
      </c>
      <c r="G13" s="13" t="str">
        <f>IF(Table1[[#This Row],[I-E]]&gt;7.5,"I","E") &amp; IF(Table1[[#This Row],[S-N]]&gt;7.5,"S","N") &amp; IF(Table1[[#This Row],[T-F]]&gt;7.5,"T","F") &amp; IF(Table1[[#This Row],[J-P]]&gt;7.5,"J","P")</f>
        <v>INTJ</v>
      </c>
    </row>
    <row r="14" spans="1:11" ht="21.6" x14ac:dyDescent="0.25">
      <c r="A14" s="13" t="s">
        <v>29</v>
      </c>
      <c r="B14" s="12">
        <v>8.1</v>
      </c>
      <c r="C14" s="12">
        <v>12</v>
      </c>
      <c r="D14" s="12">
        <v>12</v>
      </c>
      <c r="E14" s="12">
        <v>14</v>
      </c>
      <c r="F14" s="12">
        <v>9</v>
      </c>
      <c r="G14" s="13" t="str">
        <f>IF(Table1[[#This Row],[I-E]]&gt;7.5,"I","E") &amp; IF(Table1[[#This Row],[S-N]]&gt;7.5,"S","N") &amp; IF(Table1[[#This Row],[T-F]]&gt;7.5,"T","F") &amp; IF(Table1[[#This Row],[J-P]]&gt;7.5,"J","P")</f>
        <v>ISTJ</v>
      </c>
    </row>
    <row r="15" spans="1:11" ht="21.6" x14ac:dyDescent="0.25">
      <c r="A15" s="13" t="s">
        <v>30</v>
      </c>
      <c r="B15" s="12">
        <v>8.1</v>
      </c>
      <c r="C15" s="12">
        <v>9</v>
      </c>
      <c r="D15" s="12">
        <v>9</v>
      </c>
      <c r="E15" s="12">
        <v>7</v>
      </c>
      <c r="F15" s="12">
        <v>10</v>
      </c>
      <c r="G15" s="13" t="str">
        <f>IF(Table1[[#This Row],[I-E]]&gt;7.5,"I","E") &amp; IF(Table1[[#This Row],[S-N]]&gt;7.5,"S","N") &amp; IF(Table1[[#This Row],[T-F]]&gt;7.5,"T","F") &amp; IF(Table1[[#This Row],[J-P]]&gt;7.5,"J","P")</f>
        <v>ISFJ</v>
      </c>
    </row>
    <row r="16" spans="1:11" ht="21.6" x14ac:dyDescent="0.25">
      <c r="A16" s="13" t="s">
        <v>31</v>
      </c>
      <c r="B16" s="12">
        <v>8.1</v>
      </c>
      <c r="C16" s="12">
        <v>6</v>
      </c>
      <c r="D16" s="12">
        <v>5</v>
      </c>
      <c r="E16" s="12">
        <v>9</v>
      </c>
      <c r="F16" s="12">
        <v>9</v>
      </c>
      <c r="G16" s="13" t="str">
        <f>IF(Table1[[#This Row],[I-E]]&gt;7.5,"I","E") &amp; IF(Table1[[#This Row],[S-N]]&gt;7.5,"S","N") &amp; IF(Table1[[#This Row],[T-F]]&gt;7.5,"T","F") &amp; IF(Table1[[#This Row],[J-P]]&gt;7.5,"J","P")</f>
        <v>ENTJ</v>
      </c>
    </row>
    <row r="17" spans="1:64" ht="21.6" x14ac:dyDescent="0.25">
      <c r="A17" s="13" t="s">
        <v>32</v>
      </c>
      <c r="B17" s="12">
        <v>8.1</v>
      </c>
      <c r="C17" s="12">
        <v>5</v>
      </c>
      <c r="D17" s="12">
        <v>7</v>
      </c>
      <c r="E17" s="12">
        <v>12</v>
      </c>
      <c r="F17" s="12">
        <v>10</v>
      </c>
      <c r="G17" s="13" t="str">
        <f>IF(Table1[[#This Row],[I-E]]&gt;7.5,"I","E") &amp; IF(Table1[[#This Row],[S-N]]&gt;7.5,"S","N") &amp; IF(Table1[[#This Row],[T-F]]&gt;7.5,"T","F") &amp; IF(Table1[[#This Row],[J-P]]&gt;7.5,"J","P")</f>
        <v>ENTJ</v>
      </c>
    </row>
    <row r="18" spans="1:64" ht="21.6" x14ac:dyDescent="0.25">
      <c r="A18" s="13" t="s">
        <v>33</v>
      </c>
      <c r="B18" s="12">
        <v>8.1</v>
      </c>
      <c r="C18" s="12">
        <v>5</v>
      </c>
      <c r="D18" s="12">
        <v>7</v>
      </c>
      <c r="E18" s="12">
        <v>8</v>
      </c>
      <c r="F18" s="12">
        <v>10</v>
      </c>
      <c r="G18" s="13" t="str">
        <f>IF(Table1[[#This Row],[I-E]]&gt;7.5,"I","E") &amp; IF(Table1[[#This Row],[S-N]]&gt;7.5,"S","N") &amp; IF(Table1[[#This Row],[T-F]]&gt;7.5,"T","F") &amp; IF(Table1[[#This Row],[J-P]]&gt;7.5,"J","P")</f>
        <v>ENTJ</v>
      </c>
    </row>
    <row r="19" spans="1:64" ht="21.6" x14ac:dyDescent="0.25">
      <c r="A19" s="13" t="s">
        <v>34</v>
      </c>
      <c r="B19" s="12">
        <v>8.1</v>
      </c>
      <c r="C19" s="12">
        <v>12</v>
      </c>
      <c r="D19" s="12">
        <v>12</v>
      </c>
      <c r="E19" s="12">
        <v>12</v>
      </c>
      <c r="F19" s="12">
        <v>14</v>
      </c>
      <c r="G19" s="13" t="str">
        <f>IF(Table1[[#This Row],[I-E]]&gt;7.5,"I","E") &amp; IF(Table1[[#This Row],[S-N]]&gt;7.5,"S","N") &amp; IF(Table1[[#This Row],[T-F]]&gt;7.5,"T","F") &amp; IF(Table1[[#This Row],[J-P]]&gt;7.5,"J","P")</f>
        <v>ISTJ</v>
      </c>
    </row>
    <row r="20" spans="1:64" ht="21.6" x14ac:dyDescent="0.25">
      <c r="A20" s="13" t="s">
        <v>35</v>
      </c>
      <c r="B20" s="12">
        <v>8.1</v>
      </c>
      <c r="C20" s="12">
        <v>14</v>
      </c>
      <c r="D20" s="12">
        <v>7</v>
      </c>
      <c r="E20" s="12">
        <v>4</v>
      </c>
      <c r="F20" s="12">
        <v>4</v>
      </c>
      <c r="G20" s="13" t="str">
        <f>IF(Table1[[#This Row],[I-E]]&gt;7.5,"I","E") &amp; IF(Table1[[#This Row],[S-N]]&gt;7.5,"S","N") &amp; IF(Table1[[#This Row],[T-F]]&gt;7.5,"T","F") &amp; IF(Table1[[#This Row],[J-P]]&gt;7.5,"J","P")</f>
        <v>INFP</v>
      </c>
    </row>
    <row r="21" spans="1:64" ht="21.6" x14ac:dyDescent="0.25">
      <c r="A21" s="13" t="s">
        <v>36</v>
      </c>
      <c r="B21" s="12">
        <v>8.1</v>
      </c>
      <c r="C21" s="12">
        <v>12</v>
      </c>
      <c r="D21" s="12">
        <v>10</v>
      </c>
      <c r="E21" s="12">
        <v>13</v>
      </c>
      <c r="F21" s="12">
        <v>9</v>
      </c>
      <c r="G21" s="13" t="str">
        <f>IF(Table1[[#This Row],[I-E]]&gt;7.5,"I","E") &amp; IF(Table1[[#This Row],[S-N]]&gt;7.5,"S","N") &amp; IF(Table1[[#This Row],[T-F]]&gt;7.5,"T","F") &amp; IF(Table1[[#This Row],[J-P]]&gt;7.5,"J","P")</f>
        <v>ISTJ</v>
      </c>
    </row>
    <row r="22" spans="1:64" ht="21.6" x14ac:dyDescent="0.25">
      <c r="A22" s="13" t="s">
        <v>37</v>
      </c>
      <c r="B22" s="12">
        <v>8.1</v>
      </c>
      <c r="C22" s="12">
        <v>9</v>
      </c>
      <c r="D22" s="12">
        <v>6</v>
      </c>
      <c r="E22" s="12">
        <v>13</v>
      </c>
      <c r="F22" s="12">
        <v>11</v>
      </c>
      <c r="G22" s="13" t="str">
        <f>IF(Table1[[#This Row],[I-E]]&gt;7.5,"I","E") &amp; IF(Table1[[#This Row],[S-N]]&gt;7.5,"S","N") &amp; IF(Table1[[#This Row],[T-F]]&gt;7.5,"T","F") &amp; IF(Table1[[#This Row],[J-P]]&gt;7.5,"J","P")</f>
        <v>INTJ</v>
      </c>
    </row>
    <row r="23" spans="1:64" ht="21.6" x14ac:dyDescent="0.25">
      <c r="A23" s="13" t="s">
        <v>38</v>
      </c>
      <c r="B23" s="12">
        <v>8.1</v>
      </c>
      <c r="C23" s="12">
        <v>12</v>
      </c>
      <c r="D23" s="12">
        <v>8</v>
      </c>
      <c r="E23" s="12">
        <v>11</v>
      </c>
      <c r="F23" s="12">
        <v>4</v>
      </c>
      <c r="G23" s="13" t="str">
        <f>IF(Table1[[#This Row],[I-E]]&gt;7.5,"I","E") &amp; IF(Table1[[#This Row],[S-N]]&gt;7.5,"S","N") &amp; IF(Table1[[#This Row],[T-F]]&gt;7.5,"T","F") &amp; IF(Table1[[#This Row],[J-P]]&gt;7.5,"J","P")</f>
        <v>ISTP</v>
      </c>
    </row>
    <row r="24" spans="1:64" ht="21.6" x14ac:dyDescent="0.25">
      <c r="A24" s="13" t="s">
        <v>39</v>
      </c>
      <c r="B24" s="12">
        <v>8.1</v>
      </c>
      <c r="C24" s="12">
        <v>9</v>
      </c>
      <c r="D24" s="12">
        <v>6</v>
      </c>
      <c r="E24" s="12">
        <v>9</v>
      </c>
      <c r="F24" s="12">
        <v>9</v>
      </c>
      <c r="G24" s="13" t="str">
        <f>IF(Table1[[#This Row],[I-E]]&gt;7.5,"I","E") &amp; IF(Table1[[#This Row],[S-N]]&gt;7.5,"S","N") &amp; IF(Table1[[#This Row],[T-F]]&gt;7.5,"T","F") &amp; IF(Table1[[#This Row],[J-P]]&gt;7.5,"J","P")</f>
        <v>INTJ</v>
      </c>
    </row>
    <row r="25" spans="1:64" ht="21.6" x14ac:dyDescent="0.25">
      <c r="A25" s="13" t="s">
        <v>40</v>
      </c>
      <c r="B25" s="12">
        <v>8.1</v>
      </c>
      <c r="C25" s="12">
        <v>2</v>
      </c>
      <c r="D25" s="12">
        <v>8</v>
      </c>
      <c r="E25" s="12">
        <v>4</v>
      </c>
      <c r="F25" s="12">
        <v>9</v>
      </c>
      <c r="G25" s="13" t="str">
        <f>IF(Table1[[#This Row],[I-E]]&gt;7.5,"I","E") &amp; IF(Table1[[#This Row],[S-N]]&gt;7.5,"S","N") &amp; IF(Table1[[#This Row],[T-F]]&gt;7.5,"T","F") &amp; IF(Table1[[#This Row],[J-P]]&gt;7.5,"J","P")</f>
        <v>ESFJ</v>
      </c>
    </row>
    <row r="26" spans="1:64" ht="21.6" x14ac:dyDescent="0.25">
      <c r="A26" s="13" t="s">
        <v>41</v>
      </c>
      <c r="B26" s="12">
        <v>8.1</v>
      </c>
      <c r="C26" s="12">
        <v>14</v>
      </c>
      <c r="D26" s="12">
        <v>12</v>
      </c>
      <c r="E26" s="12">
        <v>14</v>
      </c>
      <c r="F26" s="12">
        <v>9</v>
      </c>
      <c r="G26" s="13" t="str">
        <f>IF(Table1[[#This Row],[I-E]]&gt;7.5,"I","E") &amp; IF(Table1[[#This Row],[S-N]]&gt;7.5,"S","N") &amp; IF(Table1[[#This Row],[T-F]]&gt;7.5,"T","F") &amp; IF(Table1[[#This Row],[J-P]]&gt;7.5,"J","P")</f>
        <v>ISTJ</v>
      </c>
    </row>
    <row r="27" spans="1:64" ht="21.6" x14ac:dyDescent="0.25">
      <c r="A27" s="13" t="s">
        <v>42</v>
      </c>
      <c r="B27" s="12">
        <v>8.1</v>
      </c>
      <c r="C27" s="12">
        <v>5</v>
      </c>
      <c r="D27" s="12">
        <v>7</v>
      </c>
      <c r="E27" s="12">
        <v>1</v>
      </c>
      <c r="F27" s="12">
        <v>5</v>
      </c>
      <c r="G27" s="13" t="str">
        <f>IF(Table1[[#This Row],[I-E]]&gt;7.5,"I","E") &amp; IF(Table1[[#This Row],[S-N]]&gt;7.5,"S","N") &amp; IF(Table1[[#This Row],[T-F]]&gt;7.5,"T","F") &amp; IF(Table1[[#This Row],[J-P]]&gt;7.5,"J","P")</f>
        <v>ENFP</v>
      </c>
    </row>
    <row r="28" spans="1:64" ht="21.6" x14ac:dyDescent="0.25">
      <c r="A28" s="13" t="s">
        <v>43</v>
      </c>
      <c r="B28" s="12">
        <v>8.1</v>
      </c>
      <c r="C28" s="12">
        <v>13</v>
      </c>
      <c r="D28" s="12">
        <v>5</v>
      </c>
      <c r="E28" s="12">
        <v>4</v>
      </c>
      <c r="F28" s="12">
        <v>4</v>
      </c>
      <c r="G28" s="13" t="str">
        <f>IF(Table1[[#This Row],[I-E]]&gt;7.5,"I","E") &amp; IF(Table1[[#This Row],[S-N]]&gt;7.5,"S","N") &amp; IF(Table1[[#This Row],[T-F]]&gt;7.5,"T","F") &amp; IF(Table1[[#This Row],[J-P]]&gt;7.5,"J","P")</f>
        <v>INFP</v>
      </c>
    </row>
    <row r="29" spans="1:64" ht="21.6" x14ac:dyDescent="0.25">
      <c r="A29" s="13" t="s">
        <v>44</v>
      </c>
      <c r="B29" s="12">
        <v>8.1</v>
      </c>
      <c r="C29" s="12">
        <v>7</v>
      </c>
      <c r="D29" s="12">
        <v>7</v>
      </c>
      <c r="E29" s="12">
        <v>15</v>
      </c>
      <c r="F29" s="12">
        <v>8</v>
      </c>
      <c r="G29" s="13" t="str">
        <f>IF(Table1[[#This Row],[I-E]]&gt;7.5,"I","E") &amp; IF(Table1[[#This Row],[S-N]]&gt;7.5,"S","N") &amp; IF(Table1[[#This Row],[T-F]]&gt;7.5,"T","F") &amp; IF(Table1[[#This Row],[J-P]]&gt;7.5,"J","P")</f>
        <v>ENTJ</v>
      </c>
    </row>
    <row r="30" spans="1:64" ht="21.6" x14ac:dyDescent="0.25">
      <c r="A30" s="13" t="s">
        <v>184</v>
      </c>
      <c r="B30" s="12">
        <v>7.1</v>
      </c>
      <c r="C30" s="12">
        <v>1</v>
      </c>
      <c r="D30" s="12">
        <v>1</v>
      </c>
      <c r="E30" s="12">
        <v>1</v>
      </c>
      <c r="F30" s="12">
        <v>0</v>
      </c>
      <c r="G30" s="13" t="s">
        <v>183</v>
      </c>
      <c r="BL30" s="101"/>
    </row>
    <row r="31" spans="1:64" ht="21.6" x14ac:dyDescent="0.25">
      <c r="A31" s="13">
        <f>SUBTOTAL(103,Table1[Name])</f>
        <v>29</v>
      </c>
      <c r="B31" s="12"/>
      <c r="C31" s="12">
        <f>SUBTOTAL(101,Table1[I-E])</f>
        <v>9.1724137931034484</v>
      </c>
      <c r="D31" s="12">
        <f>SUBTOTAL(101,Table1[S-N])</f>
        <v>7.2068965517241379</v>
      </c>
      <c r="E31" s="12">
        <f>SUBTOTAL(101,Table1[T-F])</f>
        <v>10</v>
      </c>
      <c r="F31" s="12">
        <f>SUBTOTAL(101,Table1[J-P])</f>
        <v>7</v>
      </c>
      <c r="G31" s="13"/>
    </row>
  </sheetData>
  <phoneticPr fontId="41" type="noConversion"/>
  <conditionalFormatting sqref="C2:F31">
    <cfRule type="colorScale" priority="1">
      <colorScale>
        <cfvo type="num" val="0"/>
        <cfvo type="num" val="7.5"/>
        <cfvo type="num" val="15"/>
        <color rgb="FFFF0000"/>
        <color rgb="FFFCFCFF"/>
        <color rgb="FF0070C0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F3CED-4D60-4D5C-AC02-4BA217ED55A2}">
  <sheetPr codeName="Sheet5"/>
  <dimension ref="A1:H30"/>
  <sheetViews>
    <sheetView rightToLeft="1" workbookViewId="0">
      <selection activeCell="I5" sqref="I5"/>
    </sheetView>
  </sheetViews>
  <sheetFormatPr defaultRowHeight="21.6" x14ac:dyDescent="0.75"/>
  <cols>
    <col min="1" max="1" width="8.88671875" style="11"/>
    <col min="2" max="2" width="26.21875" style="10" customWidth="1"/>
    <col min="3" max="7" width="8.88671875" style="11"/>
    <col min="8" max="8" width="11.6640625" style="10" customWidth="1"/>
    <col min="9" max="16384" width="8.88671875" style="9"/>
  </cols>
  <sheetData>
    <row r="1" spans="1:8" x14ac:dyDescent="0.75">
      <c r="A1" s="12" t="s">
        <v>176</v>
      </c>
      <c r="B1" s="13" t="s">
        <v>45</v>
      </c>
      <c r="C1" s="12" t="s">
        <v>46</v>
      </c>
      <c r="D1" s="12" t="s">
        <v>13</v>
      </c>
      <c r="E1" s="12" t="s">
        <v>14</v>
      </c>
      <c r="F1" s="12" t="s">
        <v>15</v>
      </c>
      <c r="G1" s="12" t="s">
        <v>16</v>
      </c>
      <c r="H1" s="13" t="s">
        <v>175</v>
      </c>
    </row>
    <row r="2" spans="1:8" x14ac:dyDescent="0.75">
      <c r="A2" s="12">
        <v>9501</v>
      </c>
      <c r="B2" s="13" t="s">
        <v>17</v>
      </c>
      <c r="C2" s="12">
        <v>10</v>
      </c>
      <c r="D2" s="12">
        <v>12</v>
      </c>
      <c r="E2" s="12">
        <v>12</v>
      </c>
      <c r="F2" s="12">
        <v>14</v>
      </c>
      <c r="G2" s="12">
        <v>6</v>
      </c>
      <c r="H2" s="13" t="str">
        <f>IF(ResultTable[[#This Row],[I-E]]&gt;7.5,"I","E") &amp; IF(ResultTable[[#This Row],[S-N]]&gt;7.5,"S","N") &amp; IF(ResultTable[[#This Row],[T-F]]&gt;7.5,"T","F") &amp; IF(ResultTable[[#This Row],[J-P]]&gt;7.5,"J","P")</f>
        <v>ISTP</v>
      </c>
    </row>
    <row r="3" spans="1:8" x14ac:dyDescent="0.75">
      <c r="A3" s="12">
        <v>9502</v>
      </c>
      <c r="B3" s="13" t="s">
        <v>18</v>
      </c>
      <c r="C3" s="12">
        <v>10</v>
      </c>
      <c r="D3" s="12">
        <v>2</v>
      </c>
      <c r="E3" s="12">
        <v>5</v>
      </c>
      <c r="F3" s="12">
        <v>5</v>
      </c>
      <c r="G3" s="12">
        <v>11</v>
      </c>
      <c r="H3" s="13" t="str">
        <f>IF(ResultTable[[#This Row],[I-E]]&gt;7.5,"I","E") &amp; IF(ResultTable[[#This Row],[S-N]]&gt;7.5,"S","N") &amp; IF(ResultTable[[#This Row],[T-F]]&gt;7.5,"T","F") &amp; IF(ResultTable[[#This Row],[J-P]]&gt;7.5,"J","P")</f>
        <v>ENFJ</v>
      </c>
    </row>
    <row r="4" spans="1:8" x14ac:dyDescent="0.75">
      <c r="A4" s="12">
        <v>9503</v>
      </c>
      <c r="B4" s="13" t="s">
        <v>19</v>
      </c>
      <c r="C4" s="12">
        <v>10</v>
      </c>
      <c r="D4" s="12">
        <v>12</v>
      </c>
      <c r="E4" s="12">
        <v>6</v>
      </c>
      <c r="F4" s="12">
        <v>13</v>
      </c>
      <c r="G4" s="12">
        <v>1</v>
      </c>
      <c r="H4" s="13" t="str">
        <f>IF(ResultTable[[#This Row],[I-E]]&gt;7.5,"I","E") &amp; IF(ResultTable[[#This Row],[S-N]]&gt;7.5,"S","N") &amp; IF(ResultTable[[#This Row],[T-F]]&gt;7.5,"T","F") &amp; IF(ResultTable[[#This Row],[J-P]]&gt;7.5,"J","P")</f>
        <v>INTP</v>
      </c>
    </row>
    <row r="5" spans="1:8" x14ac:dyDescent="0.75">
      <c r="A5" s="12">
        <v>9504</v>
      </c>
      <c r="B5" s="13" t="s">
        <v>20</v>
      </c>
      <c r="C5" s="12">
        <v>10</v>
      </c>
      <c r="D5" s="12">
        <v>14</v>
      </c>
      <c r="E5" s="12">
        <v>10</v>
      </c>
      <c r="F5" s="12">
        <v>14</v>
      </c>
      <c r="G5" s="12">
        <v>9</v>
      </c>
      <c r="H5" s="13" t="str">
        <f>IF(ResultTable[[#This Row],[I-E]]&gt;7.5,"I","E") &amp; IF(ResultTable[[#This Row],[S-N]]&gt;7.5,"S","N") &amp; IF(ResultTable[[#This Row],[T-F]]&gt;7.5,"T","F") &amp; IF(ResultTable[[#This Row],[J-P]]&gt;7.5,"J","P")</f>
        <v>ISTJ</v>
      </c>
    </row>
    <row r="6" spans="1:8" x14ac:dyDescent="0.75">
      <c r="A6" s="12">
        <v>9505</v>
      </c>
      <c r="B6" s="13" t="s">
        <v>21</v>
      </c>
      <c r="C6" s="12">
        <v>10</v>
      </c>
      <c r="D6" s="12">
        <v>8</v>
      </c>
      <c r="E6" s="12">
        <v>7</v>
      </c>
      <c r="F6" s="12">
        <v>14</v>
      </c>
      <c r="G6" s="12">
        <v>10</v>
      </c>
      <c r="H6" s="13" t="str">
        <f>IF(ResultTable[[#This Row],[I-E]]&gt;7.5,"I","E") &amp; IF(ResultTable[[#This Row],[S-N]]&gt;7.5,"S","N") &amp; IF(ResultTable[[#This Row],[T-F]]&gt;7.5,"T","F") &amp; IF(ResultTable[[#This Row],[J-P]]&gt;7.5,"J","P")</f>
        <v>INTJ</v>
      </c>
    </row>
    <row r="7" spans="1:8" x14ac:dyDescent="0.75">
      <c r="A7" s="12">
        <v>9506</v>
      </c>
      <c r="B7" s="13" t="s">
        <v>22</v>
      </c>
      <c r="C7" s="12">
        <v>10</v>
      </c>
      <c r="D7" s="12">
        <v>9</v>
      </c>
      <c r="E7" s="12">
        <v>10</v>
      </c>
      <c r="F7" s="12">
        <v>13</v>
      </c>
      <c r="G7" s="12">
        <v>2</v>
      </c>
      <c r="H7" s="13" t="str">
        <f>IF(ResultTable[[#This Row],[I-E]]&gt;7.5,"I","E") &amp; IF(ResultTable[[#This Row],[S-N]]&gt;7.5,"S","N") &amp; IF(ResultTable[[#This Row],[T-F]]&gt;7.5,"T","F") &amp; IF(ResultTable[[#This Row],[J-P]]&gt;7.5,"J","P")</f>
        <v>ISTP</v>
      </c>
    </row>
    <row r="8" spans="1:8" x14ac:dyDescent="0.75">
      <c r="A8" s="12">
        <v>9601</v>
      </c>
      <c r="B8" s="13" t="s">
        <v>23</v>
      </c>
      <c r="C8" s="12">
        <v>9</v>
      </c>
      <c r="D8" s="12">
        <v>7</v>
      </c>
      <c r="E8" s="12">
        <v>4</v>
      </c>
      <c r="F8" s="12">
        <v>11</v>
      </c>
      <c r="G8" s="12">
        <v>6</v>
      </c>
      <c r="H8" s="13" t="str">
        <f>IF(ResultTable[[#This Row],[I-E]]&gt;7.5,"I","E") &amp; IF(ResultTable[[#This Row],[S-N]]&gt;7.5,"S","N") &amp; IF(ResultTable[[#This Row],[T-F]]&gt;7.5,"T","F") &amp; IF(ResultTable[[#This Row],[J-P]]&gt;7.5,"J","P")</f>
        <v>ENTP</v>
      </c>
    </row>
    <row r="9" spans="1:8" x14ac:dyDescent="0.75">
      <c r="A9" s="12">
        <v>9602</v>
      </c>
      <c r="B9" s="13" t="s">
        <v>24</v>
      </c>
      <c r="C9" s="12">
        <v>9</v>
      </c>
      <c r="D9" s="12">
        <v>7</v>
      </c>
      <c r="E9" s="12">
        <v>5</v>
      </c>
      <c r="F9" s="12">
        <v>12</v>
      </c>
      <c r="G9" s="12">
        <v>4</v>
      </c>
      <c r="H9" s="13" t="str">
        <f>IF(ResultTable[[#This Row],[I-E]]&gt;7.5,"I","E") &amp; IF(ResultTable[[#This Row],[S-N]]&gt;7.5,"S","N") &amp; IF(ResultTable[[#This Row],[T-F]]&gt;7.5,"T","F") &amp; IF(ResultTable[[#This Row],[J-P]]&gt;7.5,"J","P")</f>
        <v>ENTP</v>
      </c>
    </row>
    <row r="10" spans="1:8" x14ac:dyDescent="0.75">
      <c r="A10" s="12">
        <v>9603</v>
      </c>
      <c r="B10" s="13" t="s">
        <v>25</v>
      </c>
      <c r="C10" s="12">
        <v>9</v>
      </c>
      <c r="D10" s="12">
        <v>12</v>
      </c>
      <c r="E10" s="12">
        <v>5</v>
      </c>
      <c r="F10" s="12">
        <v>9</v>
      </c>
      <c r="G10" s="12">
        <v>3</v>
      </c>
      <c r="H10" s="13" t="str">
        <f>IF(ResultTable[[#This Row],[I-E]]&gt;7.5,"I","E") &amp; IF(ResultTable[[#This Row],[S-N]]&gt;7.5,"S","N") &amp; IF(ResultTable[[#This Row],[T-F]]&gt;7.5,"T","F") &amp; IF(ResultTable[[#This Row],[J-P]]&gt;7.5,"J","P")</f>
        <v>INTP</v>
      </c>
    </row>
    <row r="11" spans="1:8" x14ac:dyDescent="0.75">
      <c r="A11" s="12">
        <v>9701</v>
      </c>
      <c r="B11" s="13" t="s">
        <v>26</v>
      </c>
      <c r="C11" s="12">
        <v>8</v>
      </c>
      <c r="D11" s="12">
        <v>10</v>
      </c>
      <c r="E11" s="12">
        <v>5</v>
      </c>
      <c r="F11" s="12">
        <v>6</v>
      </c>
      <c r="G11" s="12">
        <v>4</v>
      </c>
      <c r="H11" s="13" t="str">
        <f>IF(ResultTable[[#This Row],[I-E]]&gt;7.5,"I","E") &amp; IF(ResultTable[[#This Row],[S-N]]&gt;7.5,"S","N") &amp; IF(ResultTable[[#This Row],[T-F]]&gt;7.5,"T","F") &amp; IF(ResultTable[[#This Row],[J-P]]&gt;7.5,"J","P")</f>
        <v>INFP</v>
      </c>
    </row>
    <row r="12" spans="1:8" x14ac:dyDescent="0.75">
      <c r="A12" s="12">
        <v>9702</v>
      </c>
      <c r="B12" s="13" t="s">
        <v>27</v>
      </c>
      <c r="C12" s="12">
        <v>8</v>
      </c>
      <c r="D12" s="12">
        <v>12</v>
      </c>
      <c r="E12" s="12">
        <v>5</v>
      </c>
      <c r="F12" s="12">
        <v>14</v>
      </c>
      <c r="G12" s="12">
        <v>3</v>
      </c>
      <c r="H12" s="13" t="str">
        <f>IF(ResultTable[[#This Row],[I-E]]&gt;7.5,"I","E") &amp; IF(ResultTable[[#This Row],[S-N]]&gt;7.5,"S","N") &amp; IF(ResultTable[[#This Row],[T-F]]&gt;7.5,"T","F") &amp; IF(ResultTable[[#This Row],[J-P]]&gt;7.5,"J","P")</f>
        <v>INTP</v>
      </c>
    </row>
    <row r="13" spans="1:8" x14ac:dyDescent="0.75">
      <c r="A13" s="12">
        <v>9703</v>
      </c>
      <c r="B13" s="13" t="s">
        <v>28</v>
      </c>
      <c r="C13" s="12">
        <v>8</v>
      </c>
      <c r="D13" s="12">
        <v>14</v>
      </c>
      <c r="E13" s="12">
        <v>6</v>
      </c>
      <c r="F13" s="12">
        <v>14</v>
      </c>
      <c r="G13" s="12">
        <v>10</v>
      </c>
      <c r="H13" s="13" t="str">
        <f>IF(ResultTable[[#This Row],[I-E]]&gt;7.5,"I","E") &amp; IF(ResultTable[[#This Row],[S-N]]&gt;7.5,"S","N") &amp; IF(ResultTable[[#This Row],[T-F]]&gt;7.5,"T","F") &amp; IF(ResultTable[[#This Row],[J-P]]&gt;7.5,"J","P")</f>
        <v>INTJ</v>
      </c>
    </row>
    <row r="14" spans="1:8" x14ac:dyDescent="0.75">
      <c r="A14" s="12">
        <v>9704</v>
      </c>
      <c r="B14" s="13" t="s">
        <v>29</v>
      </c>
      <c r="C14" s="12">
        <v>8</v>
      </c>
      <c r="D14" s="12">
        <v>12</v>
      </c>
      <c r="E14" s="12">
        <v>12</v>
      </c>
      <c r="F14" s="12">
        <v>14</v>
      </c>
      <c r="G14" s="12">
        <v>9</v>
      </c>
      <c r="H14" s="13" t="str">
        <f>IF(ResultTable[[#This Row],[I-E]]&gt;7.5,"I","E") &amp; IF(ResultTable[[#This Row],[S-N]]&gt;7.5,"S","N") &amp; IF(ResultTable[[#This Row],[T-F]]&gt;7.5,"T","F") &amp; IF(ResultTable[[#This Row],[J-P]]&gt;7.5,"J","P")</f>
        <v>ISTJ</v>
      </c>
    </row>
    <row r="15" spans="1:8" x14ac:dyDescent="0.75">
      <c r="A15" s="12">
        <v>9705</v>
      </c>
      <c r="B15" s="13" t="s">
        <v>30</v>
      </c>
      <c r="C15" s="12">
        <v>8</v>
      </c>
      <c r="D15" s="12">
        <v>9</v>
      </c>
      <c r="E15" s="12">
        <v>9</v>
      </c>
      <c r="F15" s="12">
        <v>7</v>
      </c>
      <c r="G15" s="12">
        <v>10</v>
      </c>
      <c r="H15" s="13" t="str">
        <f>IF(ResultTable[[#This Row],[I-E]]&gt;7.5,"I","E") &amp; IF(ResultTable[[#This Row],[S-N]]&gt;7.5,"S","N") &amp; IF(ResultTable[[#This Row],[T-F]]&gt;7.5,"T","F") &amp; IF(ResultTable[[#This Row],[J-P]]&gt;7.5,"J","P")</f>
        <v>ISFJ</v>
      </c>
    </row>
    <row r="16" spans="1:8" x14ac:dyDescent="0.75">
      <c r="A16" s="12">
        <v>9706</v>
      </c>
      <c r="B16" s="13" t="s">
        <v>31</v>
      </c>
      <c r="C16" s="12">
        <v>8</v>
      </c>
      <c r="D16" s="12">
        <v>6</v>
      </c>
      <c r="E16" s="12">
        <v>5</v>
      </c>
      <c r="F16" s="12">
        <v>9</v>
      </c>
      <c r="G16" s="12">
        <v>9</v>
      </c>
      <c r="H16" s="13" t="str">
        <f>IF(ResultTable[[#This Row],[I-E]]&gt;7.5,"I","E") &amp; IF(ResultTable[[#This Row],[S-N]]&gt;7.5,"S","N") &amp; IF(ResultTable[[#This Row],[T-F]]&gt;7.5,"T","F") &amp; IF(ResultTable[[#This Row],[J-P]]&gt;7.5,"J","P")</f>
        <v>ENTJ</v>
      </c>
    </row>
    <row r="17" spans="1:8" x14ac:dyDescent="0.75">
      <c r="A17" s="12">
        <v>9707</v>
      </c>
      <c r="B17" s="13" t="s">
        <v>32</v>
      </c>
      <c r="C17" s="12">
        <v>8</v>
      </c>
      <c r="D17" s="12">
        <v>5</v>
      </c>
      <c r="E17" s="12">
        <v>7</v>
      </c>
      <c r="F17" s="12">
        <v>12</v>
      </c>
      <c r="G17" s="12">
        <v>10</v>
      </c>
      <c r="H17" s="13" t="str">
        <f>IF(ResultTable[[#This Row],[I-E]]&gt;7.5,"I","E") &amp; IF(ResultTable[[#This Row],[S-N]]&gt;7.5,"S","N") &amp; IF(ResultTable[[#This Row],[T-F]]&gt;7.5,"T","F") &amp; IF(ResultTable[[#This Row],[J-P]]&gt;7.5,"J","P")</f>
        <v>ENTJ</v>
      </c>
    </row>
    <row r="18" spans="1:8" x14ac:dyDescent="0.75">
      <c r="A18" s="12">
        <v>9708</v>
      </c>
      <c r="B18" s="13" t="s">
        <v>33</v>
      </c>
      <c r="C18" s="12">
        <v>8</v>
      </c>
      <c r="D18" s="12">
        <v>5</v>
      </c>
      <c r="E18" s="12">
        <v>7</v>
      </c>
      <c r="F18" s="12">
        <v>8</v>
      </c>
      <c r="G18" s="12">
        <v>10</v>
      </c>
      <c r="H18" s="13" t="str">
        <f>IF(ResultTable[[#This Row],[I-E]]&gt;7.5,"I","E") &amp; IF(ResultTable[[#This Row],[S-N]]&gt;7.5,"S","N") &amp; IF(ResultTable[[#This Row],[T-F]]&gt;7.5,"T","F") &amp; IF(ResultTable[[#This Row],[J-P]]&gt;7.5,"J","P")</f>
        <v>ENTJ</v>
      </c>
    </row>
    <row r="19" spans="1:8" x14ac:dyDescent="0.75">
      <c r="A19" s="12">
        <v>9709</v>
      </c>
      <c r="B19" s="13" t="s">
        <v>34</v>
      </c>
      <c r="C19" s="12">
        <v>8</v>
      </c>
      <c r="D19" s="12">
        <v>12</v>
      </c>
      <c r="E19" s="12">
        <v>12</v>
      </c>
      <c r="F19" s="12">
        <v>12</v>
      </c>
      <c r="G19" s="12">
        <v>14</v>
      </c>
      <c r="H19" s="13" t="str">
        <f>IF(ResultTable[[#This Row],[I-E]]&gt;7.5,"I","E") &amp; IF(ResultTable[[#This Row],[S-N]]&gt;7.5,"S","N") &amp; IF(ResultTable[[#This Row],[T-F]]&gt;7.5,"T","F") &amp; IF(ResultTable[[#This Row],[J-P]]&gt;7.5,"J","P")</f>
        <v>ISTJ</v>
      </c>
    </row>
    <row r="20" spans="1:8" x14ac:dyDescent="0.75">
      <c r="A20" s="12">
        <v>9710</v>
      </c>
      <c r="B20" s="13" t="s">
        <v>35</v>
      </c>
      <c r="C20" s="12">
        <v>8</v>
      </c>
      <c r="D20" s="12">
        <v>14</v>
      </c>
      <c r="E20" s="12">
        <v>7</v>
      </c>
      <c r="F20" s="12">
        <v>4</v>
      </c>
      <c r="G20" s="12">
        <v>4</v>
      </c>
      <c r="H20" s="13" t="str">
        <f>IF(ResultTable[[#This Row],[I-E]]&gt;7.5,"I","E") &amp; IF(ResultTable[[#This Row],[S-N]]&gt;7.5,"S","N") &amp; IF(ResultTable[[#This Row],[T-F]]&gt;7.5,"T","F") &amp; IF(ResultTable[[#This Row],[J-P]]&gt;7.5,"J","P")</f>
        <v>INFP</v>
      </c>
    </row>
    <row r="21" spans="1:8" x14ac:dyDescent="0.75">
      <c r="A21" s="12">
        <v>9711</v>
      </c>
      <c r="B21" s="13" t="s">
        <v>36</v>
      </c>
      <c r="C21" s="12">
        <v>8</v>
      </c>
      <c r="D21" s="12">
        <v>12</v>
      </c>
      <c r="E21" s="12">
        <v>10</v>
      </c>
      <c r="F21" s="12">
        <v>13</v>
      </c>
      <c r="G21" s="12">
        <v>9</v>
      </c>
      <c r="H21" s="13" t="str">
        <f>IF(ResultTable[[#This Row],[I-E]]&gt;7.5,"I","E") &amp; IF(ResultTable[[#This Row],[S-N]]&gt;7.5,"S","N") &amp; IF(ResultTable[[#This Row],[T-F]]&gt;7.5,"T","F") &amp; IF(ResultTable[[#This Row],[J-P]]&gt;7.5,"J","P")</f>
        <v>ISTJ</v>
      </c>
    </row>
    <row r="22" spans="1:8" x14ac:dyDescent="0.75">
      <c r="A22" s="12">
        <v>9712</v>
      </c>
      <c r="B22" s="13" t="s">
        <v>37</v>
      </c>
      <c r="C22" s="12">
        <v>8</v>
      </c>
      <c r="D22" s="12">
        <v>9</v>
      </c>
      <c r="E22" s="12">
        <v>6</v>
      </c>
      <c r="F22" s="12">
        <v>13</v>
      </c>
      <c r="G22" s="12">
        <v>11</v>
      </c>
      <c r="H22" s="13" t="str">
        <f>IF(ResultTable[[#This Row],[I-E]]&gt;7.5,"I","E") &amp; IF(ResultTable[[#This Row],[S-N]]&gt;7.5,"S","N") &amp; IF(ResultTable[[#This Row],[T-F]]&gt;7.5,"T","F") &amp; IF(ResultTable[[#This Row],[J-P]]&gt;7.5,"J","P")</f>
        <v>INTJ</v>
      </c>
    </row>
    <row r="23" spans="1:8" x14ac:dyDescent="0.75">
      <c r="A23" s="12">
        <v>9713</v>
      </c>
      <c r="B23" s="13" t="s">
        <v>38</v>
      </c>
      <c r="C23" s="12">
        <v>8</v>
      </c>
      <c r="D23" s="12">
        <v>12</v>
      </c>
      <c r="E23" s="12">
        <v>8</v>
      </c>
      <c r="F23" s="12">
        <v>11</v>
      </c>
      <c r="G23" s="12">
        <v>4</v>
      </c>
      <c r="H23" s="13" t="str">
        <f>IF(ResultTable[[#This Row],[I-E]]&gt;7.5,"I","E") &amp; IF(ResultTable[[#This Row],[S-N]]&gt;7.5,"S","N") &amp; IF(ResultTable[[#This Row],[T-F]]&gt;7.5,"T","F") &amp; IF(ResultTable[[#This Row],[J-P]]&gt;7.5,"J","P")</f>
        <v>ISTP</v>
      </c>
    </row>
    <row r="24" spans="1:8" x14ac:dyDescent="0.75">
      <c r="A24" s="12">
        <v>9714</v>
      </c>
      <c r="B24" s="13" t="s">
        <v>39</v>
      </c>
      <c r="C24" s="12">
        <v>8</v>
      </c>
      <c r="D24" s="12">
        <v>9</v>
      </c>
      <c r="E24" s="12">
        <v>6</v>
      </c>
      <c r="F24" s="12">
        <v>9</v>
      </c>
      <c r="G24" s="12">
        <v>9</v>
      </c>
      <c r="H24" s="13" t="str">
        <f>IF(ResultTable[[#This Row],[I-E]]&gt;7.5,"I","E") &amp; IF(ResultTable[[#This Row],[S-N]]&gt;7.5,"S","N") &amp; IF(ResultTable[[#This Row],[T-F]]&gt;7.5,"T","F") &amp; IF(ResultTable[[#This Row],[J-P]]&gt;7.5,"J","P")</f>
        <v>INTJ</v>
      </c>
    </row>
    <row r="25" spans="1:8" x14ac:dyDescent="0.75">
      <c r="A25" s="12">
        <v>9715</v>
      </c>
      <c r="B25" s="13" t="s">
        <v>40</v>
      </c>
      <c r="C25" s="12">
        <v>8</v>
      </c>
      <c r="D25" s="12">
        <v>2</v>
      </c>
      <c r="E25" s="12">
        <v>8</v>
      </c>
      <c r="F25" s="12">
        <v>4</v>
      </c>
      <c r="G25" s="12">
        <v>9</v>
      </c>
      <c r="H25" s="13" t="str">
        <f>IF(ResultTable[[#This Row],[I-E]]&gt;7.5,"I","E") &amp; IF(ResultTable[[#This Row],[S-N]]&gt;7.5,"S","N") &amp; IF(ResultTable[[#This Row],[T-F]]&gt;7.5,"T","F") &amp; IF(ResultTable[[#This Row],[J-P]]&gt;7.5,"J","P")</f>
        <v>ESFJ</v>
      </c>
    </row>
    <row r="26" spans="1:8" x14ac:dyDescent="0.75">
      <c r="A26" s="12">
        <v>9716</v>
      </c>
      <c r="B26" s="13" t="s">
        <v>41</v>
      </c>
      <c r="C26" s="12">
        <v>8</v>
      </c>
      <c r="D26" s="12">
        <v>14</v>
      </c>
      <c r="E26" s="12">
        <v>12</v>
      </c>
      <c r="F26" s="12">
        <v>14</v>
      </c>
      <c r="G26" s="12">
        <v>9</v>
      </c>
      <c r="H26" s="13" t="str">
        <f>IF(ResultTable[[#This Row],[I-E]]&gt;7.5,"I","E") &amp; IF(ResultTable[[#This Row],[S-N]]&gt;7.5,"S","N") &amp; IF(ResultTable[[#This Row],[T-F]]&gt;7.5,"T","F") &amp; IF(ResultTable[[#This Row],[J-P]]&gt;7.5,"J","P")</f>
        <v>ISTJ</v>
      </c>
    </row>
    <row r="27" spans="1:8" x14ac:dyDescent="0.75">
      <c r="A27" s="12">
        <v>9717</v>
      </c>
      <c r="B27" s="13" t="s">
        <v>42</v>
      </c>
      <c r="C27" s="12">
        <v>8</v>
      </c>
      <c r="D27" s="12">
        <v>5</v>
      </c>
      <c r="E27" s="12">
        <v>7</v>
      </c>
      <c r="F27" s="12">
        <v>1</v>
      </c>
      <c r="G27" s="12">
        <v>5</v>
      </c>
      <c r="H27" s="13" t="str">
        <f>IF(ResultTable[[#This Row],[I-E]]&gt;7.5,"I","E") &amp; IF(ResultTable[[#This Row],[S-N]]&gt;7.5,"S","N") &amp; IF(ResultTable[[#This Row],[T-F]]&gt;7.5,"T","F") &amp; IF(ResultTable[[#This Row],[J-P]]&gt;7.5,"J","P")</f>
        <v>ENFP</v>
      </c>
    </row>
    <row r="28" spans="1:8" x14ac:dyDescent="0.75">
      <c r="A28" s="12">
        <v>9718</v>
      </c>
      <c r="B28" s="13" t="s">
        <v>43</v>
      </c>
      <c r="C28" s="12">
        <v>8</v>
      </c>
      <c r="D28" s="12">
        <v>13</v>
      </c>
      <c r="E28" s="12">
        <v>5</v>
      </c>
      <c r="F28" s="12">
        <v>4</v>
      </c>
      <c r="G28" s="12">
        <v>4</v>
      </c>
      <c r="H28" s="13" t="str">
        <f>IF(ResultTable[[#This Row],[I-E]]&gt;7.5,"I","E") &amp; IF(ResultTable[[#This Row],[S-N]]&gt;7.5,"S","N") &amp; IF(ResultTable[[#This Row],[T-F]]&gt;7.5,"T","F") &amp; IF(ResultTable[[#This Row],[J-P]]&gt;7.5,"J","P")</f>
        <v>INFP</v>
      </c>
    </row>
    <row r="29" spans="1:8" x14ac:dyDescent="0.75">
      <c r="A29" s="12">
        <v>9719</v>
      </c>
      <c r="B29" s="13" t="s">
        <v>44</v>
      </c>
      <c r="C29" s="12">
        <v>8</v>
      </c>
      <c r="D29" s="12">
        <v>7</v>
      </c>
      <c r="E29" s="12">
        <v>7</v>
      </c>
      <c r="F29" s="12">
        <v>15</v>
      </c>
      <c r="G29" s="12">
        <v>8</v>
      </c>
      <c r="H29" s="13" t="str">
        <f>IF(ResultTable[[#This Row],[I-E]]&gt;7.5,"I","E") &amp; IF(ResultTable[[#This Row],[S-N]]&gt;7.5,"S","N") &amp; IF(ResultTable[[#This Row],[T-F]]&gt;7.5,"T","F") &amp; IF(ResultTable[[#This Row],[J-P]]&gt;7.5,"J","P")</f>
        <v>ENTJ</v>
      </c>
    </row>
    <row r="30" spans="1:8" x14ac:dyDescent="0.75">
      <c r="A30" s="12"/>
      <c r="B30" s="13">
        <f>SUBTOTAL(103,ResultTable[Name])</f>
        <v>28</v>
      </c>
      <c r="C30" s="12"/>
      <c r="D30" s="12">
        <f>SUBTOTAL(101,ResultTable[I-E])</f>
        <v>9.4642857142857135</v>
      </c>
      <c r="E30" s="12">
        <f>SUBTOTAL(101,ResultTable[S-N])</f>
        <v>7.4285714285714288</v>
      </c>
      <c r="F30" s="12">
        <f>SUBTOTAL(101,ResultTable[T-F])</f>
        <v>10.321428571428571</v>
      </c>
      <c r="G30" s="12">
        <f>SUBTOTAL(101,ResultTable[J-P])</f>
        <v>7.25</v>
      </c>
      <c r="H30" s="13"/>
    </row>
  </sheetData>
  <conditionalFormatting sqref="D2:G30">
    <cfRule type="colorScale" priority="1">
      <colorScale>
        <cfvo type="num" val="0"/>
        <cfvo type="num" val="7.5"/>
        <cfvo type="num" val="15"/>
        <color rgb="FFFF0000"/>
        <color rgb="FFFCFCFF"/>
        <color rgb="FF0070C0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Q</vt:lpstr>
      <vt:lpstr>Process</vt:lpstr>
      <vt:lpstr>Concat</vt:lpstr>
      <vt:lpstr>D</vt:lpstr>
      <vt:lpstr>Result</vt:lpstr>
      <vt:lpstr>Q!Criteria</vt:lpstr>
      <vt:lpstr>Concat!Print_Area</vt:lpstr>
    </vt:vector>
  </TitlesOfParts>
  <Company>pentium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Helli</dc:creator>
  <cp:lastModifiedBy>erfan biabi</cp:lastModifiedBy>
  <cp:lastPrinted>2012-01-25T09:13:55Z</cp:lastPrinted>
  <dcterms:created xsi:type="dcterms:W3CDTF">2004-11-26T17:32:17Z</dcterms:created>
  <dcterms:modified xsi:type="dcterms:W3CDTF">2026-03-21T21:38:11Z</dcterms:modified>
</cp:coreProperties>
</file>