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Negin\Desktop\MyDataJob\Projects\1397_MBTI_excel\"/>
    </mc:Choice>
  </mc:AlternateContent>
  <xr:revisionPtr revIDLastSave="0" documentId="13_ncr:1_{0F7C54BB-D1F5-4E6C-A84A-B744F5D5109A}" xr6:coauthVersionLast="47" xr6:coauthVersionMax="47" xr10:uidLastSave="{00000000-0000-0000-0000-000000000000}"/>
  <bookViews>
    <workbookView xWindow="-108" yWindow="-108" windowWidth="23256" windowHeight="13176" tabRatio="669" xr2:uid="{00000000-000D-0000-FFFF-FFFF00000000}"/>
  </bookViews>
  <sheets>
    <sheet name="Questions" sheetId="112" r:id="rId1"/>
    <sheet name="Concat" sheetId="114" r:id="rId2"/>
    <sheet name="Process" sheetId="113" state="hidden" r:id="rId3"/>
    <sheet name="Types" sheetId="128" state="hidden" r:id="rId4"/>
    <sheet name="Data" sheetId="117" r:id="rId5"/>
    <sheet name="Pivot" sheetId="123" r:id="rId6"/>
    <sheet name="Chart" sheetId="127" r:id="rId7"/>
  </sheets>
  <definedNames>
    <definedName name="_xlnm._FilterDatabase" localSheetId="0" hidden="1">Questions!$A$1:$BB$222</definedName>
    <definedName name="_xlnm.Criteria" localSheetId="0">Questions!$F$8</definedName>
    <definedName name="_xlnm.Print_Area" localSheetId="1">Concat!$B$5:$H$20</definedName>
  </definedNames>
  <calcPr calcId="191029"/>
  <pivotCaches>
    <pivotCache cacheId="5"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14" l="1"/>
  <c r="I5" i="114"/>
  <c r="I3" i="117"/>
  <c r="I4" i="117"/>
  <c r="I5" i="117"/>
  <c r="I6" i="117"/>
  <c r="I7" i="117"/>
  <c r="I8" i="117"/>
  <c r="I9" i="117"/>
  <c r="I10" i="117"/>
  <c r="I11" i="117"/>
  <c r="I12" i="117"/>
  <c r="I13" i="117"/>
  <c r="I14" i="117"/>
  <c r="I15" i="117"/>
  <c r="I16" i="117"/>
  <c r="I17" i="117"/>
  <c r="I18" i="117"/>
  <c r="I19" i="117"/>
  <c r="I20" i="117"/>
  <c r="I21" i="117"/>
  <c r="I22" i="117"/>
  <c r="I23" i="117"/>
  <c r="I24" i="117"/>
  <c r="I25" i="117"/>
  <c r="I26" i="117"/>
  <c r="I27" i="117"/>
  <c r="I28" i="117"/>
  <c r="I29" i="117"/>
  <c r="I30" i="117"/>
  <c r="I31" i="117"/>
  <c r="I32" i="117"/>
  <c r="I33" i="117"/>
  <c r="I34" i="117"/>
  <c r="I35" i="117"/>
  <c r="I36" i="117"/>
  <c r="I37" i="117"/>
  <c r="I38" i="117"/>
  <c r="I39" i="117"/>
  <c r="I40" i="117"/>
  <c r="I41" i="117"/>
  <c r="I42" i="117"/>
  <c r="I43" i="117"/>
  <c r="I44" i="117"/>
  <c r="I45" i="117"/>
  <c r="I46" i="117"/>
  <c r="I47" i="117"/>
  <c r="I48" i="117"/>
  <c r="I49" i="117"/>
  <c r="I50" i="117"/>
  <c r="I51" i="117"/>
  <c r="I52" i="117"/>
  <c r="I53" i="117"/>
  <c r="I54" i="117"/>
  <c r="I55" i="117"/>
  <c r="I56" i="117"/>
  <c r="I57" i="117"/>
  <c r="I58" i="117"/>
  <c r="I59" i="117"/>
  <c r="I60" i="117"/>
  <c r="I61" i="117"/>
  <c r="I62" i="117"/>
  <c r="I63" i="117"/>
  <c r="I64" i="117"/>
  <c r="I65" i="117"/>
  <c r="I66" i="117"/>
  <c r="I67" i="117"/>
  <c r="I68" i="117"/>
  <c r="I69" i="117"/>
  <c r="I70" i="117"/>
  <c r="I71" i="117"/>
  <c r="I72" i="117"/>
  <c r="I73" i="117"/>
  <c r="I74" i="117"/>
  <c r="I75" i="117"/>
  <c r="I76" i="117"/>
  <c r="I77" i="117"/>
  <c r="I78" i="117"/>
  <c r="I79" i="117"/>
  <c r="I80" i="117"/>
  <c r="I81" i="117"/>
  <c r="I82" i="117"/>
  <c r="I83" i="117"/>
  <c r="I84" i="117"/>
  <c r="I85" i="117"/>
  <c r="I86" i="117"/>
  <c r="I87" i="117"/>
  <c r="I88" i="117"/>
  <c r="I89" i="117"/>
  <c r="I90" i="117"/>
  <c r="I91" i="117"/>
  <c r="I92" i="117"/>
  <c r="I93" i="117"/>
  <c r="I94" i="117"/>
  <c r="I95" i="117"/>
  <c r="I96" i="117"/>
  <c r="I97" i="117"/>
  <c r="I98" i="117"/>
  <c r="I99" i="117"/>
  <c r="I100" i="117"/>
  <c r="I101" i="117"/>
  <c r="I102" i="117"/>
  <c r="I103" i="117"/>
  <c r="I104" i="117"/>
  <c r="I105" i="117"/>
  <c r="I106" i="117"/>
  <c r="I107" i="117"/>
  <c r="I108" i="117"/>
  <c r="I109" i="117"/>
  <c r="I110" i="117"/>
  <c r="I111" i="117"/>
  <c r="I112" i="117"/>
  <c r="I113" i="117"/>
  <c r="I114" i="117"/>
  <c r="I115" i="117"/>
  <c r="I116" i="117"/>
  <c r="I117" i="117"/>
  <c r="I118" i="117"/>
  <c r="I119" i="117"/>
  <c r="I120" i="117"/>
  <c r="I121" i="117"/>
  <c r="I122" i="117"/>
  <c r="I123" i="117"/>
  <c r="I124" i="117"/>
  <c r="I125" i="117"/>
  <c r="I126" i="117"/>
  <c r="I127" i="117"/>
  <c r="I128" i="117"/>
  <c r="I129" i="117"/>
  <c r="I130" i="117"/>
  <c r="I131" i="117"/>
  <c r="I132" i="117"/>
  <c r="I133" i="117"/>
  <c r="I134" i="117"/>
  <c r="I135" i="117"/>
  <c r="I136" i="117"/>
  <c r="I137" i="117"/>
  <c r="I138" i="117"/>
  <c r="I139" i="117"/>
  <c r="I140" i="117"/>
  <c r="I141" i="117"/>
  <c r="I142" i="117"/>
  <c r="I143" i="117"/>
  <c r="I144" i="117"/>
  <c r="I145" i="117"/>
  <c r="I146" i="117"/>
  <c r="I147" i="117"/>
  <c r="I148" i="117"/>
  <c r="I149" i="117"/>
  <c r="I150" i="117"/>
  <c r="I151" i="117"/>
  <c r="I152" i="117"/>
  <c r="I153" i="117"/>
  <c r="I154" i="117"/>
  <c r="I155" i="117"/>
  <c r="I156" i="117"/>
  <c r="I157" i="117"/>
  <c r="I158" i="117"/>
  <c r="I159" i="117"/>
  <c r="I160" i="117"/>
  <c r="I161" i="117"/>
  <c r="I162" i="117"/>
  <c r="I163" i="117"/>
  <c r="I164" i="117"/>
  <c r="I165" i="117"/>
  <c r="I166" i="117"/>
  <c r="I167" i="117"/>
  <c r="I168" i="117"/>
  <c r="I169" i="117"/>
  <c r="I170" i="117"/>
  <c r="I171" i="117"/>
  <c r="I172" i="117"/>
  <c r="I173" i="117"/>
  <c r="I174" i="117"/>
  <c r="I175" i="117"/>
  <c r="I176" i="117"/>
  <c r="I177" i="117"/>
  <c r="I178" i="117"/>
  <c r="I179" i="117"/>
  <c r="I180" i="117"/>
  <c r="I181" i="117"/>
  <c r="I182" i="117"/>
  <c r="I183" i="117"/>
  <c r="I184" i="117"/>
  <c r="I185" i="117"/>
  <c r="I186" i="117"/>
  <c r="I187" i="117"/>
  <c r="I188" i="117"/>
  <c r="I189" i="117"/>
  <c r="I190" i="117"/>
  <c r="I191" i="117"/>
  <c r="I192" i="117"/>
  <c r="I193" i="117"/>
  <c r="I194" i="117"/>
  <c r="I195" i="117"/>
  <c r="I196" i="117"/>
  <c r="I197" i="117"/>
  <c r="I198" i="117"/>
  <c r="I199" i="117"/>
  <c r="I200" i="117"/>
  <c r="I201" i="117"/>
  <c r="I202" i="117"/>
  <c r="I203" i="117"/>
  <c r="I204" i="117"/>
  <c r="I205" i="117"/>
  <c r="I206" i="117"/>
  <c r="I207" i="117"/>
  <c r="I208" i="117"/>
  <c r="I209" i="117"/>
  <c r="I210" i="117"/>
  <c r="I211" i="117"/>
  <c r="I212" i="117"/>
  <c r="I213" i="117"/>
  <c r="I214" i="117"/>
  <c r="I215" i="117"/>
  <c r="I216" i="117"/>
  <c r="I217" i="117"/>
  <c r="I218" i="117"/>
  <c r="I219" i="117"/>
  <c r="I220" i="117"/>
  <c r="I221" i="117"/>
  <c r="I222" i="117"/>
  <c r="I223" i="117"/>
  <c r="I224" i="117"/>
  <c r="I225" i="117"/>
  <c r="I226" i="117"/>
  <c r="I227" i="117"/>
  <c r="I228" i="117"/>
  <c r="I229" i="117"/>
  <c r="I230" i="117"/>
  <c r="I231" i="117"/>
  <c r="I232" i="117"/>
  <c r="I233" i="117"/>
  <c r="I234" i="117"/>
  <c r="I235" i="117"/>
  <c r="I236" i="117"/>
  <c r="I237" i="117"/>
  <c r="I238" i="117"/>
  <c r="I239" i="117"/>
  <c r="I240" i="117"/>
  <c r="I241" i="117"/>
  <c r="I242" i="117"/>
  <c r="I243" i="117"/>
  <c r="I244" i="117"/>
  <c r="I245" i="117"/>
  <c r="I246" i="117"/>
  <c r="I247" i="117"/>
  <c r="I248" i="117"/>
  <c r="I249" i="117"/>
  <c r="I250" i="117"/>
  <c r="I251" i="117"/>
  <c r="I252" i="117"/>
  <c r="I253" i="117"/>
  <c r="I254" i="117"/>
  <c r="I255" i="117"/>
  <c r="I256" i="117"/>
  <c r="I257" i="117"/>
  <c r="I258" i="117"/>
  <c r="I259" i="117"/>
  <c r="I260" i="117"/>
  <c r="I261" i="117"/>
  <c r="I262" i="117"/>
  <c r="I263" i="117"/>
  <c r="I264" i="117"/>
  <c r="I265" i="117"/>
  <c r="I266" i="117"/>
  <c r="I267" i="117"/>
  <c r="I268" i="117"/>
  <c r="I269" i="117"/>
  <c r="I270" i="117"/>
  <c r="I271" i="117"/>
  <c r="I272" i="117"/>
  <c r="I273" i="117"/>
  <c r="I274" i="117"/>
  <c r="I275" i="117"/>
  <c r="I276" i="117"/>
  <c r="I277" i="117"/>
  <c r="I278" i="117"/>
  <c r="I279" i="117"/>
  <c r="I280" i="117"/>
  <c r="I281" i="117"/>
  <c r="I282" i="117"/>
  <c r="I283" i="117"/>
  <c r="I284" i="117"/>
  <c r="I285" i="117"/>
  <c r="I286" i="117"/>
  <c r="I287" i="117"/>
  <c r="I288" i="117"/>
  <c r="I289" i="117"/>
  <c r="I290" i="117"/>
  <c r="I291" i="117"/>
  <c r="I292" i="117"/>
  <c r="I293" i="117"/>
  <c r="I294" i="117"/>
  <c r="I295" i="117"/>
  <c r="I296" i="117"/>
  <c r="I297" i="117"/>
  <c r="I298" i="117"/>
  <c r="I299" i="117"/>
  <c r="I300" i="117"/>
  <c r="I301" i="117"/>
  <c r="I302" i="117"/>
  <c r="I303" i="117"/>
  <c r="I304" i="117"/>
  <c r="I305" i="117"/>
  <c r="I306" i="117"/>
  <c r="I307" i="117"/>
  <c r="I308" i="117"/>
  <c r="I309" i="117"/>
  <c r="I310" i="117"/>
  <c r="I311" i="117"/>
  <c r="I312" i="117"/>
  <c r="I313" i="117"/>
  <c r="I314" i="117"/>
  <c r="I315" i="117"/>
  <c r="I316" i="117"/>
  <c r="I317" i="117"/>
  <c r="I318" i="117"/>
  <c r="I319" i="117"/>
  <c r="I320" i="117"/>
  <c r="I321" i="117"/>
  <c r="I322" i="117"/>
  <c r="I323" i="117"/>
  <c r="I324" i="117"/>
  <c r="I325" i="117"/>
  <c r="I326" i="117"/>
  <c r="I327" i="117"/>
  <c r="I328" i="117"/>
  <c r="I329" i="117"/>
  <c r="I330" i="117"/>
  <c r="I331" i="117"/>
  <c r="I332" i="117"/>
  <c r="I333" i="117"/>
  <c r="I334" i="117"/>
  <c r="I335" i="117"/>
  <c r="I336" i="117"/>
  <c r="I337" i="117"/>
  <c r="I338" i="117"/>
  <c r="I339" i="117"/>
  <c r="I340" i="117"/>
  <c r="I341" i="117"/>
  <c r="I342" i="117"/>
  <c r="I343" i="117"/>
  <c r="I344" i="117"/>
  <c r="I345" i="117"/>
  <c r="I346" i="117"/>
  <c r="I347" i="117"/>
  <c r="I348" i="117"/>
  <c r="I349" i="117"/>
  <c r="I350" i="117"/>
  <c r="I351" i="117"/>
  <c r="I352" i="117"/>
  <c r="I353" i="117"/>
  <c r="I354" i="117"/>
  <c r="I355" i="117"/>
  <c r="I356" i="117"/>
  <c r="I357" i="117"/>
  <c r="I358" i="117"/>
  <c r="I359" i="117"/>
  <c r="I360" i="117"/>
  <c r="I361" i="117"/>
  <c r="I362" i="117"/>
  <c r="I363" i="117"/>
  <c r="I364" i="117"/>
  <c r="I365" i="117"/>
  <c r="I366" i="117"/>
  <c r="I367" i="117"/>
  <c r="I368" i="117"/>
  <c r="I369" i="117"/>
  <c r="I370" i="117"/>
  <c r="I371" i="117"/>
  <c r="I372" i="117"/>
  <c r="I373" i="117"/>
  <c r="I374" i="117"/>
  <c r="I375" i="117"/>
  <c r="I376" i="117"/>
  <c r="I377" i="117"/>
  <c r="I378" i="117"/>
  <c r="I379" i="117"/>
  <c r="I380" i="117"/>
  <c r="I381" i="117"/>
  <c r="I382" i="117"/>
  <c r="I383" i="117"/>
  <c r="I384" i="117"/>
  <c r="I385" i="117"/>
  <c r="I386" i="117"/>
  <c r="I387" i="117"/>
  <c r="I388" i="117"/>
  <c r="I389" i="117"/>
  <c r="I390" i="117"/>
  <c r="I391" i="117"/>
  <c r="I392" i="117"/>
  <c r="I393" i="117"/>
  <c r="I394" i="117"/>
  <c r="I395" i="117"/>
  <c r="I396" i="117"/>
  <c r="I397" i="117"/>
  <c r="I398" i="117"/>
  <c r="I399" i="117"/>
  <c r="I400" i="117"/>
  <c r="I401" i="117"/>
  <c r="I402" i="117"/>
  <c r="I403" i="117"/>
  <c r="I404" i="117"/>
  <c r="I405" i="117"/>
  <c r="I406" i="117"/>
  <c r="I407" i="117"/>
  <c r="I408" i="117"/>
  <c r="I409" i="117"/>
  <c r="I410" i="117"/>
  <c r="I411" i="117"/>
  <c r="I412" i="117"/>
  <c r="I413" i="117"/>
  <c r="I2" i="117"/>
  <c r="H3" i="117"/>
  <c r="H4" i="117"/>
  <c r="H5" i="117"/>
  <c r="H6" i="117"/>
  <c r="H7" i="117"/>
  <c r="H8" i="117"/>
  <c r="H9" i="117"/>
  <c r="H10" i="117"/>
  <c r="H11" i="117"/>
  <c r="H12" i="117"/>
  <c r="H13" i="117"/>
  <c r="H14" i="117"/>
  <c r="H15" i="117"/>
  <c r="H16" i="117"/>
  <c r="H17" i="117"/>
  <c r="H18" i="117"/>
  <c r="H19" i="117"/>
  <c r="H20" i="117"/>
  <c r="H21" i="117"/>
  <c r="H22" i="117"/>
  <c r="H23" i="117"/>
  <c r="H24" i="117"/>
  <c r="H25" i="117"/>
  <c r="H26" i="117"/>
  <c r="H27" i="117"/>
  <c r="H28" i="117"/>
  <c r="H29" i="117"/>
  <c r="H30" i="117"/>
  <c r="H31" i="117"/>
  <c r="H32" i="117"/>
  <c r="H33" i="117"/>
  <c r="H34" i="117"/>
  <c r="H35" i="117"/>
  <c r="H36" i="117"/>
  <c r="H37" i="117"/>
  <c r="H38" i="117"/>
  <c r="H39" i="117"/>
  <c r="H40" i="117"/>
  <c r="H41" i="117"/>
  <c r="H42" i="117"/>
  <c r="H43" i="117"/>
  <c r="H44" i="117"/>
  <c r="H45" i="117"/>
  <c r="H46" i="117"/>
  <c r="H47" i="117"/>
  <c r="H48" i="117"/>
  <c r="H49" i="117"/>
  <c r="H50" i="117"/>
  <c r="H51" i="117"/>
  <c r="H52" i="117"/>
  <c r="H53" i="117"/>
  <c r="H54" i="117"/>
  <c r="H55" i="117"/>
  <c r="H56" i="117"/>
  <c r="H57" i="117"/>
  <c r="H58" i="117"/>
  <c r="H59" i="117"/>
  <c r="H60" i="117"/>
  <c r="H61" i="117"/>
  <c r="H62" i="117"/>
  <c r="H63" i="117"/>
  <c r="H64" i="117"/>
  <c r="H65" i="117"/>
  <c r="H66" i="117"/>
  <c r="H67" i="117"/>
  <c r="H68" i="117"/>
  <c r="H69" i="117"/>
  <c r="H70" i="117"/>
  <c r="H71" i="117"/>
  <c r="H72" i="117"/>
  <c r="H73" i="117"/>
  <c r="H74" i="117"/>
  <c r="H75" i="117"/>
  <c r="H76" i="117"/>
  <c r="H77" i="117"/>
  <c r="H78" i="117"/>
  <c r="H79" i="117"/>
  <c r="H80" i="117"/>
  <c r="H81" i="117"/>
  <c r="H82" i="117"/>
  <c r="H83" i="117"/>
  <c r="H84" i="117"/>
  <c r="H85" i="117"/>
  <c r="H86" i="117"/>
  <c r="H87" i="117"/>
  <c r="H88" i="117"/>
  <c r="H89" i="117"/>
  <c r="H90" i="117"/>
  <c r="H91" i="117"/>
  <c r="H92" i="117"/>
  <c r="H93" i="117"/>
  <c r="H94" i="117"/>
  <c r="H95" i="117"/>
  <c r="H96" i="117"/>
  <c r="H97" i="117"/>
  <c r="H98" i="117"/>
  <c r="H99" i="117"/>
  <c r="H100" i="117"/>
  <c r="H101" i="117"/>
  <c r="H102" i="117"/>
  <c r="H103" i="117"/>
  <c r="H104" i="117"/>
  <c r="H105" i="117"/>
  <c r="H106" i="117"/>
  <c r="H107" i="117"/>
  <c r="H108" i="117"/>
  <c r="H109" i="117"/>
  <c r="H110" i="117"/>
  <c r="H111" i="117"/>
  <c r="H112" i="117"/>
  <c r="H113" i="117"/>
  <c r="H114" i="117"/>
  <c r="H115" i="117"/>
  <c r="H116" i="117"/>
  <c r="H117" i="117"/>
  <c r="H118" i="117"/>
  <c r="H119" i="117"/>
  <c r="H120" i="117"/>
  <c r="H121" i="117"/>
  <c r="H122" i="117"/>
  <c r="H123" i="117"/>
  <c r="H124" i="117"/>
  <c r="H125" i="117"/>
  <c r="H126" i="117"/>
  <c r="H127" i="117"/>
  <c r="H128" i="117"/>
  <c r="H129" i="117"/>
  <c r="H130" i="117"/>
  <c r="H131" i="117"/>
  <c r="H132" i="117"/>
  <c r="H133" i="117"/>
  <c r="H134" i="117"/>
  <c r="H135" i="117"/>
  <c r="H136" i="117"/>
  <c r="H137" i="117"/>
  <c r="H138" i="117"/>
  <c r="H139" i="117"/>
  <c r="H140" i="117"/>
  <c r="H141" i="117"/>
  <c r="H142" i="117"/>
  <c r="H143" i="117"/>
  <c r="H144" i="117"/>
  <c r="H145" i="117"/>
  <c r="H146" i="117"/>
  <c r="H147" i="117"/>
  <c r="H148" i="117"/>
  <c r="H149" i="117"/>
  <c r="H150" i="117"/>
  <c r="H151" i="117"/>
  <c r="H152" i="117"/>
  <c r="H153" i="117"/>
  <c r="H154" i="117"/>
  <c r="H155" i="117"/>
  <c r="H156" i="117"/>
  <c r="H157" i="117"/>
  <c r="H158" i="117"/>
  <c r="H159" i="117"/>
  <c r="H160" i="117"/>
  <c r="H161" i="117"/>
  <c r="H162" i="117"/>
  <c r="H163" i="117"/>
  <c r="H164" i="117"/>
  <c r="H165" i="117"/>
  <c r="H166" i="117"/>
  <c r="H167" i="117"/>
  <c r="H168" i="117"/>
  <c r="H169" i="117"/>
  <c r="H170" i="117"/>
  <c r="H171" i="117"/>
  <c r="H172" i="117"/>
  <c r="H173" i="117"/>
  <c r="H174" i="117"/>
  <c r="H175" i="117"/>
  <c r="H176" i="117"/>
  <c r="H177" i="117"/>
  <c r="H178" i="117"/>
  <c r="H179" i="117"/>
  <c r="H180" i="117"/>
  <c r="H181" i="117"/>
  <c r="H182" i="117"/>
  <c r="H183" i="117"/>
  <c r="H184" i="117"/>
  <c r="H185" i="117"/>
  <c r="H186" i="117"/>
  <c r="H187" i="117"/>
  <c r="H188" i="117"/>
  <c r="H189" i="117"/>
  <c r="H190" i="117"/>
  <c r="H191" i="117"/>
  <c r="H192" i="117"/>
  <c r="H193" i="117"/>
  <c r="H194" i="117"/>
  <c r="H195" i="117"/>
  <c r="H196" i="117"/>
  <c r="H197" i="117"/>
  <c r="H198" i="117"/>
  <c r="H199" i="117"/>
  <c r="H200" i="117"/>
  <c r="H201" i="117"/>
  <c r="H202" i="117"/>
  <c r="H203" i="117"/>
  <c r="H204" i="117"/>
  <c r="H205" i="117"/>
  <c r="H206" i="117"/>
  <c r="H207" i="117"/>
  <c r="H208" i="117"/>
  <c r="H209" i="117"/>
  <c r="H210" i="117"/>
  <c r="H211" i="117"/>
  <c r="H212" i="117"/>
  <c r="H213" i="117"/>
  <c r="H214" i="117"/>
  <c r="H215" i="117"/>
  <c r="H216" i="117"/>
  <c r="H217" i="117"/>
  <c r="H218" i="117"/>
  <c r="H219" i="117"/>
  <c r="H220" i="117"/>
  <c r="H221" i="117"/>
  <c r="H222" i="117"/>
  <c r="H223" i="117"/>
  <c r="H224" i="117"/>
  <c r="H225" i="117"/>
  <c r="H226" i="117"/>
  <c r="H227" i="117"/>
  <c r="H228" i="117"/>
  <c r="H229" i="117"/>
  <c r="H230" i="117"/>
  <c r="H231" i="117"/>
  <c r="H232" i="117"/>
  <c r="H233" i="117"/>
  <c r="H234" i="117"/>
  <c r="H235" i="117"/>
  <c r="H236" i="117"/>
  <c r="H237" i="117"/>
  <c r="H238" i="117"/>
  <c r="H239" i="117"/>
  <c r="H240" i="117"/>
  <c r="H241" i="117"/>
  <c r="H242" i="117"/>
  <c r="H243" i="117"/>
  <c r="H244" i="117"/>
  <c r="H245" i="117"/>
  <c r="H246" i="117"/>
  <c r="H247" i="117"/>
  <c r="H248" i="117"/>
  <c r="H249" i="117"/>
  <c r="H250" i="117"/>
  <c r="H251" i="117"/>
  <c r="H252" i="117"/>
  <c r="H253" i="117"/>
  <c r="H254" i="117"/>
  <c r="H255" i="117"/>
  <c r="H256" i="117"/>
  <c r="H257" i="117"/>
  <c r="H258" i="117"/>
  <c r="H259" i="117"/>
  <c r="H260" i="117"/>
  <c r="H261" i="117"/>
  <c r="H262" i="117"/>
  <c r="H263" i="117"/>
  <c r="H264" i="117"/>
  <c r="H265" i="117"/>
  <c r="H266" i="117"/>
  <c r="H267" i="117"/>
  <c r="H268" i="117"/>
  <c r="H269" i="117"/>
  <c r="H270" i="117"/>
  <c r="H271" i="117"/>
  <c r="H272" i="117"/>
  <c r="H273" i="117"/>
  <c r="H274" i="117"/>
  <c r="H275" i="117"/>
  <c r="H276" i="117"/>
  <c r="H277" i="117"/>
  <c r="H278" i="117"/>
  <c r="H279" i="117"/>
  <c r="H280" i="117"/>
  <c r="H281" i="117"/>
  <c r="H282" i="117"/>
  <c r="H283" i="117"/>
  <c r="H284" i="117"/>
  <c r="H285" i="117"/>
  <c r="H286" i="117"/>
  <c r="H287" i="117"/>
  <c r="H288" i="117"/>
  <c r="H289" i="117"/>
  <c r="H290" i="117"/>
  <c r="H291" i="117"/>
  <c r="H292" i="117"/>
  <c r="H293" i="117"/>
  <c r="H294" i="117"/>
  <c r="H295" i="117"/>
  <c r="H296" i="117"/>
  <c r="H297" i="117"/>
  <c r="H298" i="117"/>
  <c r="H299" i="117"/>
  <c r="H300" i="117"/>
  <c r="H301" i="117"/>
  <c r="H302" i="117"/>
  <c r="H303" i="117"/>
  <c r="H304" i="117"/>
  <c r="H305" i="117"/>
  <c r="H306" i="117"/>
  <c r="H307" i="117"/>
  <c r="H308" i="117"/>
  <c r="H309" i="117"/>
  <c r="H310" i="117"/>
  <c r="H311" i="117"/>
  <c r="H312" i="117"/>
  <c r="H313" i="117"/>
  <c r="H314" i="117"/>
  <c r="H315" i="117"/>
  <c r="H316" i="117"/>
  <c r="H317" i="117"/>
  <c r="H318" i="117"/>
  <c r="H319" i="117"/>
  <c r="H320" i="117"/>
  <c r="H321" i="117"/>
  <c r="H322" i="117"/>
  <c r="H323" i="117"/>
  <c r="H324" i="117"/>
  <c r="H325" i="117"/>
  <c r="H326" i="117"/>
  <c r="H327" i="117"/>
  <c r="H328" i="117"/>
  <c r="H329" i="117"/>
  <c r="H330" i="117"/>
  <c r="H331" i="117"/>
  <c r="H332" i="117"/>
  <c r="H333" i="117"/>
  <c r="H334" i="117"/>
  <c r="H335" i="117"/>
  <c r="H336" i="117"/>
  <c r="H337" i="117"/>
  <c r="H338" i="117"/>
  <c r="H339" i="117"/>
  <c r="H340" i="117"/>
  <c r="H341" i="117"/>
  <c r="H342" i="117"/>
  <c r="H343" i="117"/>
  <c r="H344" i="117"/>
  <c r="H345" i="117"/>
  <c r="H346" i="117"/>
  <c r="H347" i="117"/>
  <c r="H348" i="117"/>
  <c r="H349" i="117"/>
  <c r="H350" i="117"/>
  <c r="H351" i="117"/>
  <c r="H352" i="117"/>
  <c r="H353" i="117"/>
  <c r="H354" i="117"/>
  <c r="H355" i="117"/>
  <c r="H356" i="117"/>
  <c r="H357" i="117"/>
  <c r="H358" i="117"/>
  <c r="H359" i="117"/>
  <c r="H360" i="117"/>
  <c r="H361" i="117"/>
  <c r="H362" i="117"/>
  <c r="H363" i="117"/>
  <c r="H364" i="117"/>
  <c r="H365" i="117"/>
  <c r="H366" i="117"/>
  <c r="H367" i="117"/>
  <c r="H368" i="117"/>
  <c r="H369" i="117"/>
  <c r="H370" i="117"/>
  <c r="H371" i="117"/>
  <c r="H372" i="117"/>
  <c r="H373" i="117"/>
  <c r="H374" i="117"/>
  <c r="H375" i="117"/>
  <c r="H376" i="117"/>
  <c r="H377" i="117"/>
  <c r="H378" i="117"/>
  <c r="H379" i="117"/>
  <c r="H380" i="117"/>
  <c r="H381" i="117"/>
  <c r="H382" i="117"/>
  <c r="H383" i="117"/>
  <c r="H384" i="117"/>
  <c r="H385" i="117"/>
  <c r="H386" i="117"/>
  <c r="H387" i="117"/>
  <c r="H388" i="117"/>
  <c r="H389" i="117"/>
  <c r="H390" i="117"/>
  <c r="H391" i="117"/>
  <c r="H392" i="117"/>
  <c r="H393" i="117"/>
  <c r="H394" i="117"/>
  <c r="H395" i="117"/>
  <c r="H396" i="117"/>
  <c r="H397" i="117"/>
  <c r="H398" i="117"/>
  <c r="H399" i="117"/>
  <c r="H400" i="117"/>
  <c r="H401" i="117"/>
  <c r="H402" i="117"/>
  <c r="H403" i="117"/>
  <c r="H404" i="117"/>
  <c r="H405" i="117"/>
  <c r="H406" i="117"/>
  <c r="H407" i="117"/>
  <c r="H408" i="117"/>
  <c r="H409" i="117"/>
  <c r="H410" i="117"/>
  <c r="H411" i="117"/>
  <c r="H412" i="117"/>
  <c r="H413" i="117"/>
  <c r="H2" i="117"/>
  <c r="G3" i="117"/>
  <c r="G4" i="117"/>
  <c r="G5" i="117"/>
  <c r="G6" i="117"/>
  <c r="G7" i="117"/>
  <c r="G8" i="117"/>
  <c r="G9" i="117"/>
  <c r="G10" i="117"/>
  <c r="G11" i="117"/>
  <c r="G12" i="117"/>
  <c r="G13" i="117"/>
  <c r="G14" i="117"/>
  <c r="G15" i="117"/>
  <c r="G16" i="117"/>
  <c r="G17" i="117"/>
  <c r="G18" i="117"/>
  <c r="G19" i="117"/>
  <c r="G20" i="117"/>
  <c r="G21" i="117"/>
  <c r="G22" i="117"/>
  <c r="G23" i="117"/>
  <c r="G24" i="117"/>
  <c r="G25" i="117"/>
  <c r="G26" i="117"/>
  <c r="G27" i="117"/>
  <c r="G28" i="117"/>
  <c r="G29" i="117"/>
  <c r="G30" i="117"/>
  <c r="G31" i="117"/>
  <c r="G32" i="117"/>
  <c r="G33" i="117"/>
  <c r="G34" i="117"/>
  <c r="G35" i="117"/>
  <c r="G36" i="117"/>
  <c r="G37" i="117"/>
  <c r="G38" i="117"/>
  <c r="G39" i="117"/>
  <c r="G40" i="117"/>
  <c r="G41" i="117"/>
  <c r="G42" i="117"/>
  <c r="G43" i="117"/>
  <c r="G44" i="117"/>
  <c r="G45" i="117"/>
  <c r="G46" i="117"/>
  <c r="G47" i="117"/>
  <c r="G48" i="117"/>
  <c r="G49" i="117"/>
  <c r="G50" i="117"/>
  <c r="G51" i="117"/>
  <c r="G52" i="117"/>
  <c r="G53" i="117"/>
  <c r="G54" i="117"/>
  <c r="G55" i="117"/>
  <c r="G56" i="117"/>
  <c r="G57" i="117"/>
  <c r="G58" i="117"/>
  <c r="G59" i="117"/>
  <c r="G60" i="117"/>
  <c r="G61" i="117"/>
  <c r="G62" i="117"/>
  <c r="G63" i="117"/>
  <c r="G64" i="117"/>
  <c r="G65" i="117"/>
  <c r="G66" i="117"/>
  <c r="G67" i="117"/>
  <c r="G68" i="117"/>
  <c r="G69" i="117"/>
  <c r="G70" i="117"/>
  <c r="G71" i="117"/>
  <c r="G72" i="117"/>
  <c r="G73" i="117"/>
  <c r="G74" i="117"/>
  <c r="G75" i="117"/>
  <c r="G76" i="117"/>
  <c r="G77" i="117"/>
  <c r="G78" i="117"/>
  <c r="G79" i="117"/>
  <c r="G80" i="117"/>
  <c r="G81" i="117"/>
  <c r="G82" i="117"/>
  <c r="G83" i="117"/>
  <c r="G84" i="117"/>
  <c r="G85" i="117"/>
  <c r="G86" i="117"/>
  <c r="G87" i="117"/>
  <c r="G88" i="117"/>
  <c r="G89" i="117"/>
  <c r="G90" i="117"/>
  <c r="G91" i="117"/>
  <c r="G92" i="117"/>
  <c r="G93" i="117"/>
  <c r="G94" i="117"/>
  <c r="G95" i="117"/>
  <c r="G96" i="117"/>
  <c r="G97" i="117"/>
  <c r="G98" i="117"/>
  <c r="G99" i="117"/>
  <c r="G100" i="117"/>
  <c r="G101" i="117"/>
  <c r="G102" i="117"/>
  <c r="G103" i="117"/>
  <c r="G104" i="117"/>
  <c r="G105" i="117"/>
  <c r="G106" i="117"/>
  <c r="G107" i="117"/>
  <c r="G108" i="117"/>
  <c r="G109" i="117"/>
  <c r="G110" i="117"/>
  <c r="G111" i="117"/>
  <c r="G112" i="117"/>
  <c r="G113" i="117"/>
  <c r="G114" i="117"/>
  <c r="G115" i="117"/>
  <c r="G116" i="117"/>
  <c r="G117" i="117"/>
  <c r="G118" i="117"/>
  <c r="G119" i="117"/>
  <c r="G120" i="117"/>
  <c r="G121" i="117"/>
  <c r="G122" i="117"/>
  <c r="G123" i="117"/>
  <c r="G124" i="117"/>
  <c r="G125" i="117"/>
  <c r="G126" i="117"/>
  <c r="G127" i="117"/>
  <c r="G128" i="117"/>
  <c r="G129" i="117"/>
  <c r="G130" i="117"/>
  <c r="G131" i="117"/>
  <c r="G132" i="117"/>
  <c r="G133" i="117"/>
  <c r="G134" i="117"/>
  <c r="G135" i="117"/>
  <c r="G136" i="117"/>
  <c r="G137" i="117"/>
  <c r="G138" i="117"/>
  <c r="G139" i="117"/>
  <c r="G140" i="117"/>
  <c r="G141" i="117"/>
  <c r="G142" i="117"/>
  <c r="G143" i="117"/>
  <c r="G144" i="117"/>
  <c r="G145" i="117"/>
  <c r="G146" i="117"/>
  <c r="G147" i="117"/>
  <c r="G148" i="117"/>
  <c r="G149" i="117"/>
  <c r="G150" i="117"/>
  <c r="G151" i="117"/>
  <c r="G152" i="117"/>
  <c r="G153" i="117"/>
  <c r="G154" i="117"/>
  <c r="G155" i="117"/>
  <c r="G156" i="117"/>
  <c r="G157" i="117"/>
  <c r="G158" i="117"/>
  <c r="G159" i="117"/>
  <c r="G160" i="117"/>
  <c r="G161" i="117"/>
  <c r="G162" i="117"/>
  <c r="G163" i="117"/>
  <c r="G164" i="117"/>
  <c r="G165" i="117"/>
  <c r="G166" i="117"/>
  <c r="G167" i="117"/>
  <c r="G168" i="117"/>
  <c r="G169" i="117"/>
  <c r="G170" i="117"/>
  <c r="G171" i="117"/>
  <c r="G172" i="117"/>
  <c r="G173" i="117"/>
  <c r="G174" i="117"/>
  <c r="G175" i="117"/>
  <c r="G176" i="117"/>
  <c r="G177" i="117"/>
  <c r="G178" i="117"/>
  <c r="G179" i="117"/>
  <c r="G180" i="117"/>
  <c r="G181" i="117"/>
  <c r="G182" i="117"/>
  <c r="G183" i="117"/>
  <c r="G184" i="117"/>
  <c r="G185" i="117"/>
  <c r="G186" i="117"/>
  <c r="G187" i="117"/>
  <c r="G188" i="117"/>
  <c r="G189" i="117"/>
  <c r="G190" i="117"/>
  <c r="G191" i="117"/>
  <c r="G192" i="117"/>
  <c r="G193" i="117"/>
  <c r="G194" i="117"/>
  <c r="G195" i="117"/>
  <c r="G196" i="117"/>
  <c r="G197" i="117"/>
  <c r="G198" i="117"/>
  <c r="G199" i="117"/>
  <c r="G200" i="117"/>
  <c r="G201" i="117"/>
  <c r="G202" i="117"/>
  <c r="G203" i="117"/>
  <c r="G204" i="117"/>
  <c r="G205" i="117"/>
  <c r="G206" i="117"/>
  <c r="G207" i="117"/>
  <c r="G208" i="117"/>
  <c r="G209" i="117"/>
  <c r="G210" i="117"/>
  <c r="G211" i="117"/>
  <c r="G212" i="117"/>
  <c r="G213" i="117"/>
  <c r="G214" i="117"/>
  <c r="G215" i="117"/>
  <c r="G216" i="117"/>
  <c r="G217" i="117"/>
  <c r="G218" i="117"/>
  <c r="G219" i="117"/>
  <c r="G220" i="117"/>
  <c r="G221" i="117"/>
  <c r="G222" i="117"/>
  <c r="G223" i="117"/>
  <c r="G224" i="117"/>
  <c r="G225" i="117"/>
  <c r="G226" i="117"/>
  <c r="G227" i="117"/>
  <c r="G228" i="117"/>
  <c r="G229" i="117"/>
  <c r="G230" i="117"/>
  <c r="G231" i="117"/>
  <c r="G232" i="117"/>
  <c r="G233" i="117"/>
  <c r="G234" i="117"/>
  <c r="G235" i="117"/>
  <c r="G236" i="117"/>
  <c r="G237" i="117"/>
  <c r="G238" i="117"/>
  <c r="G239" i="117"/>
  <c r="G240" i="117"/>
  <c r="G241" i="117"/>
  <c r="G242" i="117"/>
  <c r="G243" i="117"/>
  <c r="G244" i="117"/>
  <c r="G245" i="117"/>
  <c r="G246" i="117"/>
  <c r="G247" i="117"/>
  <c r="G248" i="117"/>
  <c r="G249" i="117"/>
  <c r="G250" i="117"/>
  <c r="G251" i="117"/>
  <c r="G252" i="117"/>
  <c r="G253" i="117"/>
  <c r="G254" i="117"/>
  <c r="G255" i="117"/>
  <c r="G256" i="117"/>
  <c r="G257" i="117"/>
  <c r="G258" i="117"/>
  <c r="G259" i="117"/>
  <c r="G260" i="117"/>
  <c r="G261" i="117"/>
  <c r="G262" i="117"/>
  <c r="G263" i="117"/>
  <c r="G264" i="117"/>
  <c r="G265" i="117"/>
  <c r="G266" i="117"/>
  <c r="G267" i="117"/>
  <c r="G268" i="117"/>
  <c r="G269" i="117"/>
  <c r="G270" i="117"/>
  <c r="G271" i="117"/>
  <c r="G272" i="117"/>
  <c r="G273" i="117"/>
  <c r="G274" i="117"/>
  <c r="G275" i="117"/>
  <c r="G276" i="117"/>
  <c r="G277" i="117"/>
  <c r="G278" i="117"/>
  <c r="G279" i="117"/>
  <c r="G280" i="117"/>
  <c r="G281" i="117"/>
  <c r="G282" i="117"/>
  <c r="G283" i="117"/>
  <c r="G284" i="117"/>
  <c r="G285" i="117"/>
  <c r="G286" i="117"/>
  <c r="G287" i="117"/>
  <c r="G288" i="117"/>
  <c r="G289" i="117"/>
  <c r="G290" i="117"/>
  <c r="G291" i="117"/>
  <c r="G292" i="117"/>
  <c r="G293" i="117"/>
  <c r="G294" i="117"/>
  <c r="G295" i="117"/>
  <c r="G296" i="117"/>
  <c r="G297" i="117"/>
  <c r="G298" i="117"/>
  <c r="G299" i="117"/>
  <c r="G300" i="117"/>
  <c r="G301" i="117"/>
  <c r="G302" i="117"/>
  <c r="G303" i="117"/>
  <c r="G304" i="117"/>
  <c r="G305" i="117"/>
  <c r="G306" i="117"/>
  <c r="G307" i="117"/>
  <c r="G308" i="117"/>
  <c r="G309" i="117"/>
  <c r="G310" i="117"/>
  <c r="G311" i="117"/>
  <c r="G312" i="117"/>
  <c r="G313" i="117"/>
  <c r="G314" i="117"/>
  <c r="G315" i="117"/>
  <c r="G316" i="117"/>
  <c r="G317" i="117"/>
  <c r="G318" i="117"/>
  <c r="G319" i="117"/>
  <c r="G320" i="117"/>
  <c r="G321" i="117"/>
  <c r="G322" i="117"/>
  <c r="G323" i="117"/>
  <c r="G324" i="117"/>
  <c r="G325" i="117"/>
  <c r="G326" i="117"/>
  <c r="G327" i="117"/>
  <c r="G328" i="117"/>
  <c r="G329" i="117"/>
  <c r="G330" i="117"/>
  <c r="G331" i="117"/>
  <c r="G332" i="117"/>
  <c r="G333" i="117"/>
  <c r="G334" i="117"/>
  <c r="G335" i="117"/>
  <c r="G336" i="117"/>
  <c r="G337" i="117"/>
  <c r="G338" i="117"/>
  <c r="G339" i="117"/>
  <c r="G340" i="117"/>
  <c r="G341" i="117"/>
  <c r="G342" i="117"/>
  <c r="G343" i="117"/>
  <c r="G344" i="117"/>
  <c r="G345" i="117"/>
  <c r="G346" i="117"/>
  <c r="G347" i="117"/>
  <c r="G348" i="117"/>
  <c r="G349" i="117"/>
  <c r="G350" i="117"/>
  <c r="G351" i="117"/>
  <c r="G352" i="117"/>
  <c r="G353" i="117"/>
  <c r="G354" i="117"/>
  <c r="G355" i="117"/>
  <c r="G356" i="117"/>
  <c r="G357" i="117"/>
  <c r="G358" i="117"/>
  <c r="G359" i="117"/>
  <c r="G360" i="117"/>
  <c r="G361" i="117"/>
  <c r="G362" i="117"/>
  <c r="G363" i="117"/>
  <c r="G364" i="117"/>
  <c r="G365" i="117"/>
  <c r="G366" i="117"/>
  <c r="G367" i="117"/>
  <c r="G368" i="117"/>
  <c r="G369" i="117"/>
  <c r="G370" i="117"/>
  <c r="G371" i="117"/>
  <c r="G372" i="117"/>
  <c r="G373" i="117"/>
  <c r="G374" i="117"/>
  <c r="G375" i="117"/>
  <c r="G376" i="117"/>
  <c r="G377" i="117"/>
  <c r="G378" i="117"/>
  <c r="G379" i="117"/>
  <c r="G380" i="117"/>
  <c r="G381" i="117"/>
  <c r="G382" i="117"/>
  <c r="G383" i="117"/>
  <c r="G384" i="117"/>
  <c r="G385" i="117"/>
  <c r="G386" i="117"/>
  <c r="G387" i="117"/>
  <c r="G388" i="117"/>
  <c r="G389" i="117"/>
  <c r="G390" i="117"/>
  <c r="G391" i="117"/>
  <c r="G392" i="117"/>
  <c r="G393" i="117"/>
  <c r="G394" i="117"/>
  <c r="G395" i="117"/>
  <c r="G396" i="117"/>
  <c r="G397" i="117"/>
  <c r="G398" i="117"/>
  <c r="G399" i="117"/>
  <c r="G400" i="117"/>
  <c r="G401" i="117"/>
  <c r="G402" i="117"/>
  <c r="G403" i="117"/>
  <c r="G404" i="117"/>
  <c r="G405" i="117"/>
  <c r="G406" i="117"/>
  <c r="G407" i="117"/>
  <c r="G408" i="117"/>
  <c r="G409" i="117"/>
  <c r="G410" i="117"/>
  <c r="G411" i="117"/>
  <c r="G412" i="117"/>
  <c r="G413" i="117"/>
  <c r="G2" i="117"/>
  <c r="D5" i="112" l="1"/>
  <c r="D4" i="112"/>
  <c r="C21" i="113"/>
  <c r="C9" i="113"/>
  <c r="C4" i="113"/>
  <c r="D62" i="113"/>
  <c r="D61" i="113"/>
  <c r="D60" i="113"/>
  <c r="D59" i="113"/>
  <c r="D58" i="113"/>
  <c r="D57" i="113"/>
  <c r="D56" i="113"/>
  <c r="D55" i="113"/>
  <c r="D54" i="113"/>
  <c r="D53" i="113"/>
  <c r="D52" i="113"/>
  <c r="D51" i="113"/>
  <c r="D50" i="113"/>
  <c r="D49" i="113"/>
  <c r="D48" i="113"/>
  <c r="D47" i="113"/>
  <c r="D46" i="113"/>
  <c r="D45" i="113"/>
  <c r="D44" i="113"/>
  <c r="D42" i="113"/>
  <c r="D41" i="113"/>
  <c r="D40" i="113"/>
  <c r="C42" i="113"/>
  <c r="C41" i="113"/>
  <c r="C43" i="113"/>
  <c r="D43" i="113"/>
  <c r="D39" i="113"/>
  <c r="D38" i="113"/>
  <c r="D37" i="113"/>
  <c r="D36" i="113"/>
  <c r="D35" i="113"/>
  <c r="D34" i="113"/>
  <c r="D33" i="113"/>
  <c r="D32" i="113"/>
  <c r="D31" i="113"/>
  <c r="D30" i="113"/>
  <c r="D29" i="113"/>
  <c r="D28" i="113"/>
  <c r="D27" i="113"/>
  <c r="D26" i="113"/>
  <c r="D25" i="113"/>
  <c r="D24" i="113"/>
  <c r="D23" i="113"/>
  <c r="D22" i="113"/>
  <c r="D21" i="113"/>
  <c r="D20" i="113"/>
  <c r="D19" i="113"/>
  <c r="D18" i="113"/>
  <c r="D17" i="113"/>
  <c r="D16" i="113"/>
  <c r="D15" i="113"/>
  <c r="D14" i="113"/>
  <c r="D13" i="113"/>
  <c r="D12" i="113"/>
  <c r="D11" i="113"/>
  <c r="D10" i="113"/>
  <c r="D9" i="113"/>
  <c r="D8" i="113"/>
  <c r="D7" i="113"/>
  <c r="D6" i="113"/>
  <c r="D5" i="113"/>
  <c r="D4" i="113"/>
  <c r="D3" i="113"/>
  <c r="C62" i="113"/>
  <c r="C61" i="113"/>
  <c r="C60" i="113"/>
  <c r="C59" i="113"/>
  <c r="C58" i="113"/>
  <c r="C57" i="113"/>
  <c r="C56" i="113"/>
  <c r="C55" i="113"/>
  <c r="C54" i="113"/>
  <c r="C53" i="113"/>
  <c r="C52" i="113"/>
  <c r="C51" i="113"/>
  <c r="C50" i="113"/>
  <c r="C49" i="113"/>
  <c r="C48" i="113"/>
  <c r="C47" i="113"/>
  <c r="C46" i="113"/>
  <c r="C45" i="113"/>
  <c r="C44" i="113"/>
  <c r="C40" i="113"/>
  <c r="C39" i="113"/>
  <c r="C38" i="113"/>
  <c r="C37" i="113"/>
  <c r="C36" i="113"/>
  <c r="C35" i="113"/>
  <c r="C34" i="113"/>
  <c r="C33" i="113"/>
  <c r="C32" i="113"/>
  <c r="C31" i="113"/>
  <c r="C30" i="113"/>
  <c r="C29" i="113"/>
  <c r="C28" i="113"/>
  <c r="C27" i="113"/>
  <c r="C26" i="113"/>
  <c r="C25" i="113"/>
  <c r="C24" i="113"/>
  <c r="C23" i="113"/>
  <c r="C22" i="113"/>
  <c r="C20" i="113"/>
  <c r="C19" i="113"/>
  <c r="C18" i="113"/>
  <c r="C17" i="113"/>
  <c r="C16" i="113"/>
  <c r="C15" i="113"/>
  <c r="C14" i="113"/>
  <c r="C13" i="113"/>
  <c r="C12" i="113"/>
  <c r="C11" i="113"/>
  <c r="C10" i="113"/>
  <c r="C8" i="113"/>
  <c r="C7" i="113"/>
  <c r="C6" i="113"/>
  <c r="C5" i="113"/>
  <c r="C3" i="113"/>
  <c r="H4" i="113" l="1"/>
  <c r="H8" i="113" s="1"/>
  <c r="I4" i="113"/>
  <c r="I8" i="113" s="1"/>
  <c r="F4" i="113"/>
  <c r="F8" i="113" s="1"/>
  <c r="G4" i="113"/>
  <c r="G8" i="113" s="1"/>
  <c r="I5" i="113" l="1"/>
  <c r="G5" i="113"/>
  <c r="H5" i="113"/>
  <c r="F5" i="113"/>
  <c r="D5" i="114" l="1"/>
</calcChain>
</file>

<file path=xl/sharedStrings.xml><?xml version="1.0" encoding="utf-8"?>
<sst xmlns="http://schemas.openxmlformats.org/spreadsheetml/2006/main" count="243" uniqueCount="237">
  <si>
    <t>E</t>
  </si>
  <si>
    <t>N</t>
  </si>
  <si>
    <t>I</t>
  </si>
  <si>
    <t>S</t>
  </si>
  <si>
    <t>F</t>
  </si>
  <si>
    <t>T</t>
  </si>
  <si>
    <t>P</t>
  </si>
  <si>
    <t>J</t>
  </si>
  <si>
    <t>الف</t>
  </si>
  <si>
    <t>ب</t>
  </si>
  <si>
    <t>نظر شما</t>
  </si>
  <si>
    <t>آزمون شخصیت شناسی MBTI</t>
  </si>
  <si>
    <t>I-E</t>
  </si>
  <si>
    <t>S-N</t>
  </si>
  <si>
    <t>T-F</t>
  </si>
  <si>
    <t>J-P</t>
  </si>
  <si>
    <t>سعید محمدی</t>
  </si>
  <si>
    <t>شایان مرادی</t>
  </si>
  <si>
    <t>قدیر شادکام</t>
  </si>
  <si>
    <t>محراب کاظم لو</t>
  </si>
  <si>
    <t>محمد زمانی</t>
  </si>
  <si>
    <t>محمد علی آبادی</t>
  </si>
  <si>
    <t>محمد مهدی گل افشان</t>
  </si>
  <si>
    <t>محمد رضا بیابانی</t>
  </si>
  <si>
    <t>محمدرضا مشهد نعمتی</t>
  </si>
  <si>
    <t>محمد پورقلی زاده</t>
  </si>
  <si>
    <t>محمد رستمی</t>
  </si>
  <si>
    <t>ابراهیم ابراهیمی</t>
  </si>
  <si>
    <t>آرمان جوانفرد</t>
  </si>
  <si>
    <t>آرمین بشیری</t>
  </si>
  <si>
    <t>امیر حسین محمدی</t>
  </si>
  <si>
    <t>امیر حسین میرزا عرب</t>
  </si>
  <si>
    <t>امیر محمد غیاثوند</t>
  </si>
  <si>
    <t>ایلیا ابراهیمی</t>
  </si>
  <si>
    <t>ایلیا نوروز پور</t>
  </si>
  <si>
    <t>رضا اسماعیل زاده</t>
  </si>
  <si>
    <t>سالار علی پناه</t>
  </si>
  <si>
    <t>سامان قلیلی</t>
  </si>
  <si>
    <t>سروش قمری</t>
  </si>
  <si>
    <t>سهیل افشاری</t>
  </si>
  <si>
    <t>علی اکبر باصری</t>
  </si>
  <si>
    <t>علی بختیاری</t>
  </si>
  <si>
    <t>محمد حسین حرآبادی</t>
  </si>
  <si>
    <t>مهدی رحیمی</t>
  </si>
  <si>
    <t>Name</t>
  </si>
  <si>
    <t>Grade</t>
  </si>
  <si>
    <t>Q-Num</t>
  </si>
  <si>
    <t>تیپ شخصیتی شما</t>
  </si>
  <si>
    <t>است.</t>
  </si>
  <si>
    <t>الف: معمولاً احساسات و عواطف خود را در خویش نگه می دارم.</t>
  </si>
  <si>
    <t>ب: معمولاً احساسات و عواطف خودرا با دیگران و به راحتی درمیان می گذارم.</t>
  </si>
  <si>
    <t>الف: برای من امور قطعی، عینی و مشخص مهم هستند.</t>
  </si>
  <si>
    <t>ب: برای من ایده ها، استنباط ها و الهامات مهم هستند.</t>
  </si>
  <si>
    <t>الف: هنگام تصمیم گیری به آنچه که منطق و خرد بر آن حکم می کند، عمل می کنم.</t>
  </si>
  <si>
    <t>ب: هنگام تصمیم گیری به آنچه که احساسات و دلم گواه می دهد، عمل می کنم.</t>
  </si>
  <si>
    <t>الف: دوست دارم در شرایط انعطاف پذیر و متغیری زندگی کنم.</t>
  </si>
  <si>
    <t>ب: دوست دارم همه چیز منظم و برنامه ریزی شده باشد.</t>
  </si>
  <si>
    <t>الف: دوست دارم در زمینه های محدودی اطلاعات داشته باشم ولی در هر زمینه عمیق و کامل.</t>
  </si>
  <si>
    <t xml:space="preserve">ب: دوست دارم در زمینه های زیادی اطلاعات داشته باشم ولی در هر زمینه تا حد کم و سطحی. </t>
  </si>
  <si>
    <t>الف: از نظر من یک قاضی و داور عادل برای جامعه مفیدتر است.</t>
  </si>
  <si>
    <t>ب: از نظر من یک معلم و مربی مهربان برای جامعه مفیدتر است.</t>
  </si>
  <si>
    <t xml:space="preserve">الف: ترجیحاً ملاقاتها و دیدارهای خود را بدون برنامه قبلی و آزادانه انجام می دهم. </t>
  </si>
  <si>
    <t>الف: کم حرف و محتاط هستم و علاقه ای به جلب توجه دیگران به خود ندارم.</t>
  </si>
  <si>
    <t>ب: توجه دیگران را به خود جلب می کنم.</t>
  </si>
  <si>
    <t>الف: اگر معلم بودم ترجیح می دادم دروسی را تدریس کنم که واقعیات و امور قطعی وعینی را شامل شوند. (مانند جغرافیا)</t>
  </si>
  <si>
    <t>ب: اگر معلم بودم، ترجیحاً دروسی را تدریس می کردم که حقایق و نظریه ها و تئوری ها را شامل شوند. (مانند فلسفه)</t>
  </si>
  <si>
    <t>الف: قاطع، محکم و استوار هستم.</t>
  </si>
  <si>
    <t xml:space="preserve">ب: انعطاف پذیر، ملایم و لطیف هستم. </t>
  </si>
  <si>
    <t>الف: غالباً انجام کارهای پیش پا افتاده و جزئی را فراموش می کنم.</t>
  </si>
  <si>
    <t>ب: به منظور جلوگیری از فراموش شدن انجام کارها، آن ها را یادداشت می کنم.</t>
  </si>
  <si>
    <t>الف: در مهمانی ها، جلسات وگردهمایی ها منتظر می مانم تا دیگران به سوی من بیایند.</t>
  </si>
  <si>
    <t>ب: در مهمانی ها، جلسات وگردهمایی ها من سر صحبت را با دیگران باز می کنم.</t>
  </si>
  <si>
    <t>الف: به جزئیات امور توجه زیادی دارم.</t>
  </si>
  <si>
    <t>ب:  بیشتر کلیت هر موضوعی برایم مهم است و به جزئیات آن توجه زیادی نمی کنم.</t>
  </si>
  <si>
    <t>الف:  به آینده اهمیت زیادی داده و  برای آن برنامه ریزی می کنم.</t>
  </si>
  <si>
    <t>ب: خیلی به آینده فکر نمی کنم.</t>
  </si>
  <si>
    <t>الف: معمولاً کارها را شروع می کنم و حین اجرا به رفع اشکالات اجرایی وتدارک مورد نیاز می پردازم.</t>
  </si>
  <si>
    <t>ب: قبل از اجرای طرح ها وکارها برنامه ریزی  انجام می دهم.</t>
  </si>
  <si>
    <t>الف: مایل هستم دوستان کم همراه با ارتباط زیاد و صمیمانه داشته باشم.</t>
  </si>
  <si>
    <t>ب: مایل هستم دوستان زیاد همراه با ارتباط محدود داشته باشم.</t>
  </si>
  <si>
    <t>الف: به استفاده از امکانات و توانایی های موجود تاکید دارم.</t>
  </si>
  <si>
    <t xml:space="preserve">ب: نوآوری و خلاقیت داشتن در کارها برایم اولویت دارد. </t>
  </si>
  <si>
    <t>الف: بیشتر پیرو منطق و دلیل هستم.</t>
  </si>
  <si>
    <t xml:space="preserve">ب: بیشتر پیرو احساس و عاطفه هستم. </t>
  </si>
  <si>
    <t>الف: در انجام کارهایی که از قبل پیش بینی نشده و یا فعالیت هایی که به سرعت و عکس العمل فوری نیاز دارد، موفق هستم.</t>
  </si>
  <si>
    <t>ب: در انجام کارهایی که بر اساس طرح و برنامه قبلی می باشد موفق هستم.</t>
  </si>
  <si>
    <t>الف: به طور معمول دوستان کمی داشته ولی روابط صمیمانه ای با آنها دارم.</t>
  </si>
  <si>
    <t>ب: به طور معمول با افراد زیادی دوستی و آشنایی دارم.</t>
  </si>
  <si>
    <t>الف: عمدتا از زندگی در زمان حال لذت زیادی برده و خیلی به آینده فکر نمی کنم.</t>
  </si>
  <si>
    <t>ب: به آینده توجه زیادی داشته و آن را پیش بینی می کنم.</t>
  </si>
  <si>
    <t>الف: معمولا مغز من بر قلب من حاکم است.</t>
  </si>
  <si>
    <t>ب: معمولا قلب من بر مغز من حاکم است.</t>
  </si>
  <si>
    <t>الف: معمولاً در کارهای روزانه مایلم بر حسب ضرورتها و فوریت هایی که پیش می آید عمل کنم.</t>
  </si>
  <si>
    <t>ب: معمولاً در کارهای روزانه مایلم که طبق برنامه عمل کنم.</t>
  </si>
  <si>
    <t>الف: از احساسات و عواطف درونی خود کمتر با دیگران صحبت می کنم.</t>
  </si>
  <si>
    <t>ب: افکار و عواطف خود را آزاد و راحت بیان می کنم.</t>
  </si>
  <si>
    <t>الف: کلمات مشخص و دقیق را ترجیح داده و بکار می برم.</t>
  </si>
  <si>
    <t>ب: کلمات تمثیلی و کنایه ای را ترجیح داده و بکار می برم.</t>
  </si>
  <si>
    <t>الف:  در تصمیم گیری ها رعایت عدالت و انصاف از همه چیز برایم مهم تر است.</t>
  </si>
  <si>
    <t xml:space="preserve">ب:  در تصمیم گیری ها رعایت حال و شرایط دیگران از همه چیز برایم مهم تر است. </t>
  </si>
  <si>
    <t>الف: معمولاً کارها را شروع می کنم و در حین اجرا به رفع مشکلات پیش آمده می پردازم.</t>
  </si>
  <si>
    <t>ب: معمولاً قبل از شروع کارها مقدمات کار را آماده و مشکلات را پیش بینی می کنم.</t>
  </si>
  <si>
    <t>الف: کارهای فردی را ترجیح می دهم.</t>
  </si>
  <si>
    <t>ب: کارهای گروهی را ترجیح می دهم.</t>
  </si>
  <si>
    <t>الف: واقعیات ( آنچه که هست ) و پدیده ها برایم جالب اند.</t>
  </si>
  <si>
    <t>ب: حقایق ( آنچه که باید باشد) و ایده ها برایم جالب اند.</t>
  </si>
  <si>
    <t>الف: برای عدل و انصاف ارزش زیادی قائلم.</t>
  </si>
  <si>
    <t>ب: برای بذل و بخشش ارزش زیادی قائلم.</t>
  </si>
  <si>
    <t>الف: تهیه فهرست از کار هایی که باید در روز تعطیل انجام داد را کاری بیهوده و عبث می دانم.</t>
  </si>
  <si>
    <t>ب: تهیه فهرست از کارهایی که باید در روز تعطیل انجام داد را کاری جدی و سودمند می دانم.</t>
  </si>
  <si>
    <t>الف: معمولاً در مهمانی ها و مجالس با شخص یا اشخاصی که از قبل می شناسم گفتگو می کنم.</t>
  </si>
  <si>
    <t>ب: معمولاً در مهمانی ها و مجالس به دنبال اشخاص جدیدی هستم تا با آنها گفتگو کرده و آشنا شوم.</t>
  </si>
  <si>
    <t>الف: دوستان من اکثراً واقع گرا و واقع بین هستند.</t>
  </si>
  <si>
    <t>ب: دوستان من اکثراً کسانی هستند که قوه تخیل قوی دارند.</t>
  </si>
  <si>
    <t>الف: به نظر من فردی که با دلایل و استدلال با موضوعات برخورد می کند، بهتر است.</t>
  </si>
  <si>
    <t xml:space="preserve">ب: به نظر من فردی که با عاطفه و احساس واقعی و دلسوزی با موضوعات برخورد می کند، بهتر است. </t>
  </si>
  <si>
    <t>الف: غالباً خود را ملزم به انجام کارها در سر وقت معین و مشخص ندانسته و خود را در محدوده زمان مقید نمی کنم.</t>
  </si>
  <si>
    <t>ب: غالباً برنامه خود را  به طور مشخص و دقیق تعیین کرده و بر انجام آنها در سر وقت مقرر اصرار می ورزم.</t>
  </si>
  <si>
    <t>الف: آرام و متفکر هستم.</t>
  </si>
  <si>
    <t>ب: با نشاط و فعال هستم.</t>
  </si>
  <si>
    <t>الف: دوست دارم فردی واقع گرا و دقیق باشم.</t>
  </si>
  <si>
    <t>ب: دوست دارم فردی مبتکر و خلاق باشم.</t>
  </si>
  <si>
    <t>الف: به تجزیه وتحلیل موضوعات علاقه دارم.</t>
  </si>
  <si>
    <t>ب: به فیلم ها و بحث های عاطفی که به مسائل انسانی می پردازند، علاقه دارم.</t>
  </si>
  <si>
    <t>الف: معمولاً زندگی خود را با توجه به اوضاع واحوالی که پیش می آید، تنظیم و اداره می کنم.</t>
  </si>
  <si>
    <t>ب: معمولاً کارهایی را که مایل به انجام آن هستم یادداشت کرده یا حداقل به طور مرتب به خاطر می سپارم.</t>
  </si>
  <si>
    <t>الف: کم حرف هستم.</t>
  </si>
  <si>
    <t>ب: خوش صحبت هستم.</t>
  </si>
  <si>
    <t>الف: هر ایده جدیدی را اگر قابل اجرا باشد می پذیرم.</t>
  </si>
  <si>
    <t xml:space="preserve">ب: برای هر ایده جدیدی به دلیل نو بودن آن (بدون توجه به اجرایی بودن یا نبودن آن) ارزش زیادی قائل هستم. </t>
  </si>
  <si>
    <t>الف: دوست دارم فردی متفکر باشم که عاقلانه رفتار می کند.</t>
  </si>
  <si>
    <t>ب: دوست دارم فردی عاطفی باشم که با احساسات انسانی رفتار می کند.</t>
  </si>
  <si>
    <t>الف: بعضی افراد مرا آدمی بی نظم و دارای زندگی شلوغ می دانند.</t>
  </si>
  <si>
    <t>ب: بعضی افراد مرا آدمی خشک و غیر قابل انعطاف می دانند.</t>
  </si>
  <si>
    <t>الف: پس از مکث و تأمل کافی، نسبت به بحث یا سؤالات مطرح شده  اظهار نظر می کنم.</t>
  </si>
  <si>
    <t>ب: در هر لحظه که فرصت شد سؤالات را مطرح یا نظر خود را اعلام می کنم.</t>
  </si>
  <si>
    <t>الف: ثبات و استحکام را دوست دارم.</t>
  </si>
  <si>
    <t>ب: تغییر و انعطاف را دوست دارم.</t>
  </si>
  <si>
    <t>الف: بیشتر از نتیجه گیری های منطقی و استدلال استفاده می کنم.</t>
  </si>
  <si>
    <t>ب: بیشتر بر اساس عواطف و عقاید شخصی نسبت به زندگی یا افراد عمل می کنم.</t>
  </si>
  <si>
    <t>الف: هر وقت که مناسب بود و فرصت دست داد نسبت به انجام کارها آزادانه و بدون فشار اقدام می کنم.</t>
  </si>
  <si>
    <t>ب: این مهم است که از قبل بدانم چه کاری یا چه چیزی از من انتظار دارند تا به انجام آنها بپردازم.</t>
  </si>
  <si>
    <t>الف: ترجیح می دهم در جمع افراد توسط فرد دیگری معرفی شوم.</t>
  </si>
  <si>
    <t>ب: معمولاً در جمع افراد، دیگران را به یکدیگر معرفی می کنم.</t>
  </si>
  <si>
    <t>الف: تلاش می کنم با رعایت ترتیب، مراحل پیش بینی شده کارها را انجام دهم.</t>
  </si>
  <si>
    <t>ب: هنگام انجام دادن کارها از قسمت های بی اهمیت آن صرف نظر می کنم.</t>
  </si>
  <si>
    <t>الف: معمولاً بدون فوت وقت یک کار یا پروژه را شروع و به هر قسمتی از آن که ممکن باشد زودتر می پردازم.</t>
  </si>
  <si>
    <t>ب: معمولاً در انجام کارها آنها را به اجزای مشخص تقسیم کرده وسپس به ترتیب به انجام بخش های مشخص شده می پردازم.</t>
  </si>
  <si>
    <t>الف: به کارهای فردی ( یا حداکثر با یکی دو نفر دیگر ) علاقمندم.</t>
  </si>
  <si>
    <t>ب: به کارهای گروهی علاقمندم.</t>
  </si>
  <si>
    <t>الف: یکی از اشکالات اساسی زندگی من، یکنواختی و چسبیدن به برنامه و کار مشخص بوده است.</t>
  </si>
  <si>
    <t>ب: یکی از اشکالات اساسی زندگی من از شاخه ای به شاخه ای پریدن و داشتن برنامه های متعدد بوده است.</t>
  </si>
  <si>
    <t xml:space="preserve">الف: قاطع بودن برای من اولویت است. </t>
  </si>
  <si>
    <t xml:space="preserve">ب: ملایم و احساسی بودن برای من اولویت است. </t>
  </si>
  <si>
    <t>الف: علاقمندم جلسات و گردهمایی ها هنگامی شروع شود که همگی افراد حضور و آمادگی لازم را داشته و احساس راحتی کنند.</t>
  </si>
  <si>
    <t>ب: علاقمندم جلسات رأس ساعت مقرر شروع شود و روی وقت شناسی تأکید دارم.</t>
  </si>
  <si>
    <t>الف: از نظر دیگران ممکن است فردی گوشه گیر و منزوی به نظر برسم.</t>
  </si>
  <si>
    <t>ب: از نظر دیگران ممکن است فردی پر حرف وسطحی به نظر برسم.</t>
  </si>
  <si>
    <t>الف: کارها را با نظم و ترتیب و مرحله به مرحله انجام می دهم.</t>
  </si>
  <si>
    <t>ب: قسمت های مهم و جالب کار را زودتر انجام می دهم.</t>
  </si>
  <si>
    <t>الف: رعایت اصول و قوانین برایم بسیار مهم است.</t>
  </si>
  <si>
    <t>ب: مهربانی و گذشت در زندگی برایم بسیار مهم است.</t>
  </si>
  <si>
    <t>الف: مقید بودن به برنامه ای که از قبل مشخص شده باشد برای من جالب نیست.</t>
  </si>
  <si>
    <t>ب: از انجام دادن کارهایی که از قبل مشخص شده باشد احساس رضایت دارم.</t>
  </si>
  <si>
    <t>J / P</t>
  </si>
  <si>
    <t>T / F</t>
  </si>
  <si>
    <t>I / E</t>
  </si>
  <si>
    <t>S / N</t>
  </si>
  <si>
    <t xml:space="preserve">الف: با گروه یا افرادی که با آنها کار می کنم، براساس تجزیه و تحلیل دقیق اوضاع و اطلاعات موجود اظهار نظر می کنم. </t>
  </si>
  <si>
    <t>ب: با گروه یا افرادی که با آنها کار می کنم، براساس درک نیازهایشان، عواطف انسانی و هم‌دلی اظهار نظر می کنم.</t>
  </si>
  <si>
    <t>Type</t>
  </si>
  <si>
    <t>تاریخ تولد:</t>
  </si>
  <si>
    <t>جنس:</t>
  </si>
  <si>
    <t xml:space="preserve">الف: بیشتر اوقات به واقعیات عینی (آنچه که وجود دارد) توجه می کنم. </t>
  </si>
  <si>
    <t>ب:  بیشتر اوقات حقایق ( آنچه که باید وجود داشته باشد) را در ذهن و تخیل خود مجسم می کنم.</t>
  </si>
  <si>
    <t>ب: ترجیحاً دیدار با افراد و وعده ملاقات خود را از پیش تعیین می کنم.</t>
  </si>
  <si>
    <t>لطفاً پس از یادداشت نتایج، دکمه ثبت فرم را بفشارید.</t>
  </si>
  <si>
    <t>پاسخگوی گرامی؛ هر زوج از جملات زیر را به دقت بخوانید. مشخص کنید کدام یک از دو جمله، شما را بهتر توصیف می‌کند. تنها جلوی یکی از هر دو جمله عدد «1» بگذارید.</t>
  </si>
  <si>
    <t>Class</t>
  </si>
  <si>
    <t>Section</t>
  </si>
  <si>
    <t>Row Labels</t>
  </si>
  <si>
    <t>Grand Total</t>
  </si>
  <si>
    <t>Average of I-E</t>
  </si>
  <si>
    <t>Average of S-N</t>
  </si>
  <si>
    <t>Average of T-F</t>
  </si>
  <si>
    <t>Average of J-P</t>
  </si>
  <si>
    <t>نام و نام خانوادگی:*</t>
  </si>
  <si>
    <t>پایه و کلاس:*</t>
  </si>
  <si>
    <t>۱. ISTJ – نقش‌گیر دقیق: اگر همیشه در کلاس یادداشت می‌کنی، قوانین را رعایت می‌کنی و دوست داری همه چیز مرتب باشد، ممکن است نوع شخصیتی ISTJ داشته باشی. این افراد به جزئیات اهمیت می‌دهند، اعتماد به نفس بالا دارند و وقتی یک برنامهٔ واضح دارند، بهترین عملکرد را نشان می‌دهند. در تیم‌ها، معمولاً مسئولیت‌های اجرایی را بر عهده می‌گیرند و همه چیز را طبق دستورالعمل انجام می‌دهند. چالش برای ISTJ این است که گاهی ممکن است به تغییرات سریع مقاوم باشند؛ اما اگر با انعطاف‌پذیری کار کنند، می‌توانند در محیط‌های پویا هم موفق شوند.</t>
  </si>
  <si>
    <t>۲. ISFJ – حامی مهربان: ISFJ ها همیشه به فکر دیگران هستند و در کلاس یا گروه دوست دارند کمک کنند. آن‌ها اغلب به خوبی یادداشت می‌کنند، ولی بیشتر زمان خود را صرف مراقبت از دوستانشان می‌کنند. این افراد با دقت بالا کار می‌کنند، اما گاهی ممکن است نگران باشند که اگر چیزی اشتباه انجام شود، باعث ناراحتی دیگران نشوند. درک اینکه نیازهای خود را هم مطرح کنند، برای ISFJ بسیار مفید است؛ چون این کار به آنها کمک می‌کند تا انرژی مثبت بیشتری داشته باشند.</t>
  </si>
  <si>
    <t>۳. INFJ – نقشه‌کش رؤیایی: INFJ ها معمولاً ایده‌های عمیقی دارند و درک خوبی از احساسات دیگران پیدا می‌کنند. اگر همیشه در حال برنامه‌ریزی برای آیندهٔ بهتر هستید، ممکن است این نوع باشید. آن‌ها به دنبال معنا و هدف در زندگی هستند؛ بنابراین دوست دارند پروژه‌هایی انجام دهند که به جامعه کمک کند. چالش INFJها، گاهی اوقات حس کنند که نیازهایشان نادیده گرفته می‌شود؛ مهم است یاد بگیرند که حدس زدن را کنار بگذارند و دربارهٔ احساسات خود صادق باشند.</t>
  </si>
  <si>
    <t>۴. INTJ – استراتژیست بی‌نظیر: INTJ ها معمولاً به دنبال حل مسائل پیچیده هستند و برنامه‌های بلندمدت می‌کنند. اگر در کلاس علاقه‌مند به تفکر انتقادی باشید و دوست دارید همیشه یک قدم جلوتر از دیگران باشید، ممکن است این نوع باشد. آن‌ها قدرت تحلیل بالا دارند و به راحتی می‌توانند مسیر موفقیت را ترسیم کنند؛ اما گاهی به نظر می‌آید که ارتباطاتشان خشک یا دوردست باشد. یادگیری مهارت‌های گفتار ساده‌تر کمک می‌کند تا بتوانند ایده‌های خود را بهتر منتقل کنند.</t>
  </si>
  <si>
    <t>۵. ISTP – فنی مستقل: اگر به تعمیر و ساخت اشیاء علاقه‌مند هستید، ممکن است شخصیتی ISTP داشته باشید. این افراد در انجام کارهای عملی مهارت دارند؛ مثل حل مشکلات فنی یا بازی‌های تیمی که نیاز به تصمیم‌گیری سریع دارد. آنها معمولاً اهل فعالیت‌های خارج از کلاس هستند و در لحظه فکر می‌کنند. گاهی ISTPها در محیط‌هایی که قوانین سختگیرانه دارند، احساس محدودیت می‌کنند؛ بنابراین ممکن است بهتر باشد با مدیران مدرسه دربارهٔ انعطاف‌پذیری بحث کنند.</t>
  </si>
  <si>
    <t>۶. ISFP – هنرمند آرام: ISFP ها معمولاً در هنر و طراحی علاقه‌مند هستند و به زیبایی‌ها اهمیت می‌دهند. اگر دوست دارید زمان خود را در خلق آثار هنری یا موسیقی سپری کنید، ممکن است این نوع باشید. آن‌ها حس خوب از محیط اطراف دارند و راحت با افراد ارتباط برقرار می‌کنند؛ اما گاهی سخت می‌توانند تصمیم‌های بزرگ بگیرند چون می‌ترسند که احساساتشان آسیب ببینند. به ISFPها توصیه می‌شود در کنار خلاقیت، مهارت‌های برنامه‌ریزی کوتاه‌مدت را تمرین کنند.</t>
  </si>
  <si>
    <t>۷. INFP – رمانتیست ایده‌آل‌گرا: اگر همیشه در ذهن داستان‌ها و رویاهای عمیقی دارید، ممکن است نوع شخصیتی INFP باشید. این افراد به ارزش‌های اخلاقی اهمیت می‌دهند، دوست دارند به دیگران کمک کنند و در هنر یا نوشتن خود را بیان کنند. گاهی اوقات ممکن است با واقعیت‌های سخت زندگی درگیر شوند؛ ولی اگر یاد بگیرند که اهدافشان را عملی کنند، می‌توانند تأثیر بزرگی داشته باشند. INFPها باید بدانند که برای رسیدن به آرزوهایشان نیاز به برنامه‌ریزی و پشتکار دارند.</t>
  </si>
  <si>
    <t>۸. INTP – عاشق تحلیل: INTP ها معمولاً به دنبال فهم دقیق از جهان هستند؛ آن‌ها در حل معما یا کشف نظریه‌های علمی علاقه‌مندند. اگر دوست دارید همیشه سؤال کنید، ممکن است این نوع باشید. آنها به شدت مستقل و خلاق هستند، ولی گاهی می‌توانند در انجام کارهای روزمره مشکل داشته باشند چون زمان‌بندی را نادیده می‌گیرند. INTPها می‌توانند با تعیین اهداف کوچک و پایبندی به برنامه‌های ساده، بهره‌وری خود را افزایش دهند.</t>
  </si>
  <si>
    <t>۹. ESTP – فرهیختهٔ لحظه: اگر در کلاس فعالیتی انجام می‌دهید یا مسابقه‌ای شرکت می‌کنید، ممکن است شخصیتی ESTP داشته باشید. این افراد در مواجهه با چالش‌های فوری و تصمیم‌گیری سریع مهارت دارند؛ بنابراین همیشه در موقعیت‌های اضطراری به خوبی عمل می‌کنند. گاهی ESTPها به جای فکر کردن به عواقب، فقط اقدام می‌کنند؛ به همین دلیل باید یاد بگیرند که چند لحظه توقف کنند تا نتیجه را پیش‌بینی کنند.</t>
  </si>
  <si>
    <t>۱۰. ESFP – لبخند دوستانه: ESFP ها در جمع دوست دارند و به راحتی با دیگران ارتباط برقرار می‌کنند. آن‌ها انرژی مثبت منتقل می‌کنند، همیشه آمادهٔ کمک هستند و در فعالیت‌های هنری یا ورزشی خوشحال ظاهر می‌شوند. گاهی ممکن است تمرکزشان بر روی لحظه جاری باشد؛ بنابراین برای رسیدن به اهداف بلندمدت باید یاد بگیرند که برنامه‌ریزی کوتاه‌مدت داشته باشند.</t>
  </si>
  <si>
    <t>۱۱. ENFP – شعور انگیزاننده: اگر همیشه در کلاس یا گروه ایده‌های جدید دارید و دوست دارید دیگران را تشویق کنید، ممکن است این نوع باشید. ENFPها پر از انرژی مثبت هستند، خلاق و به راحتی با دیگران ارتباط برقرار می‌کنند؛ اما گاهی ممکن است در دنبال کردن یک پروژهٔ خاص سختی داشته باشند. برای موفقیت، مهم است که اهداف خود را محدود کنند و بر روی یک یا دو کار تمرکز کنند.</t>
  </si>
  <si>
    <t>۱۲. ENTJ – رهبر هوشمند: ENTJ ها معمولاً به عنوان رهبران کلاس شناخته می‌شوند؛ آن‌ها در برنامه‌ریزی و هدایت گروه مهارت دارند. اگر دوست دارید تصمیم‌های مهم بگیرید و دیگران را ترغیب کنید، ممکن است این نوع باشید. ENTJها اغلب برای رسیدن به اهدافشان سخت کار می‌کنند، ولی گاهی ممکن است به نظر برسد که بیش از حد انتقادکنند؛ یادگیری گوش دادن به نظرات دیگران می‌تواند کمک بزرگی باشد.</t>
  </si>
  <si>
    <t>۱۳. ESTJ – مدیر دقیق: اگر در کلاس یا تیم مسئولیت‌های اجرایی را بر عهده بگیرید و دوست دارید همه چیز طبق برنامه پیش برود، ممکن است شخصیتی ESTJ داشته باشید. این افراد ساختار و نظم را دوست دارند؛ بنابراین به راحتی می‌توانند پروژه‌ها را مدیریت کنند. گاهی ممکن است به تغییرات سریع مقاومت نشان دهند؛ اما با یادگیری انعطاف‌پذیری در مواجهه با مشکلات کوچک، می‌توانند تیم‌هایشان را بهتر هدایت کنند.</t>
  </si>
  <si>
    <t>۱۴. ESFJ – سازمان‌دهنده مهربان: ESFJ ها معمولاً در گروه‌ها به عنوان هماهنگ‌کننده عمل می‌کنند؛ آن‌ها به دیگران کمک می‌کنند تا همه چیز روان باشد و همیشه در فکر نیازهای اطرافیان هستند. اگر دوست دارید همه را خوشحال نگه دارید، ممکن است این نوع باشید. گاهی ESFJها خودشان را فراموش می‌کنند؛ بنابراین مهم است یاد بگیرند که زمان برای خودشون هم اختصاص دهند.</t>
  </si>
  <si>
    <t>۱۵. ENFJ – الهام‌بخش انگیزش‌بخش: ENFJ ها معمولاً به عنوان مشاور یا مربی در گروه عمل می‌کنند؛ آن‌ها مهارت بالایی در فهم احساسات دیگران دارند و دوست دارند کمک کنند. اگر همیشه درگیر حل مشکلات دوستانه هستید، ممکن است این نوع باشید. ENFJها با ایده‌های بزرگ سرشارند، ولی گاهی به جای تفکر دقیق، سریع تصمیم می‌گیرند؛ بنابراین باید یاد بگیرند که قبل از اقدام، اطلاعات کافی را جمع‌آوری کنند.</t>
  </si>
  <si>
    <t>۱۶. ENTP – متفکر خلاق: ENTP ها دوست دارند مفاهیم جدید را امتحان کنند و در بحث‌های فلسفی یا علمی علاقه‌مندند. اگر همیشه در کلاس سوالات جالب می‌پرسید و به چالش‌ها پاسخ می‌دهید، ممکن است این نوع باشید. آنها بسیار خلاق هستند اما گاهی مشکل دارد که کارهای روزمره را ادامه دهند؛ بنابراین مهم است برنامه‌های کوتاه‌مدت تنظیم کنند تا ایده‌هایشان عملی شود.</t>
  </si>
  <si>
    <t>ISTJ</t>
  </si>
  <si>
    <t>ISFJ</t>
  </si>
  <si>
    <t>INFJ</t>
  </si>
  <si>
    <t>INTJ</t>
  </si>
  <si>
    <t>ISTP</t>
  </si>
  <si>
    <t>ISFP</t>
  </si>
  <si>
    <t>INFP</t>
  </si>
  <si>
    <t>INTP</t>
  </si>
  <si>
    <t>ESTP</t>
  </si>
  <si>
    <t>ESFP</t>
  </si>
  <si>
    <t>ENFP</t>
  </si>
  <si>
    <t>ENTJ</t>
  </si>
  <si>
    <t>ESTJ</t>
  </si>
  <si>
    <t>ESFJ</t>
  </si>
  <si>
    <t>ENFJ</t>
  </si>
  <si>
    <t>ENTP</t>
  </si>
  <si>
    <t xml:space="preserve">لطفاً برای دیدن نتایج آزمون، به صفحه (سربرگ) بعد مراجعه کنید. </t>
  </si>
  <si>
    <t>ISTJ,درونگرا,حسی,عقلانی،قضاوتی</t>
  </si>
  <si>
    <t>ISFJ,درونگرا,حسی,احساسی،قضاوتی</t>
  </si>
  <si>
    <t>INFJ,درونگرا,شهودی,احساسی،قضاوتی</t>
  </si>
  <si>
    <t>INTJ,درونگرا,شهودی,عقلانی،قضاوتی</t>
  </si>
  <si>
    <t>ISTP,درونگرا,حسی,عقلانی،ادراکی</t>
  </si>
  <si>
    <t>ISFP,درونگرا,حسی,احساسی،ادراکی</t>
  </si>
  <si>
    <t>INFP,درونگرا,شهودی,احساسی،ادراکی</t>
  </si>
  <si>
    <t>INTP,درونگرا,شهودی,عقلانی،ادراکی</t>
  </si>
  <si>
    <t>ESTP,برونگرا,حسی,عقلانی،ادراکی</t>
  </si>
  <si>
    <t>ESFP,برونگرا,حسی,احساسی،ادراکی</t>
  </si>
  <si>
    <t>ENFP,برونگرا,شهودی,احساسی،ادراکی</t>
  </si>
  <si>
    <t>ENTJ,برونگرا,شهودی,عقلانی،قضاوتی</t>
  </si>
  <si>
    <t>ESTJ,برونگرا,حسی,عقلانی،قضاوتی</t>
  </si>
  <si>
    <t>ESFJ,برونگرا,حسی,احساسی،قضاوتی</t>
  </si>
  <si>
    <t>ENFJ,برونگرا,شهودی,احساسی،قضاوتی</t>
  </si>
  <si>
    <t>ENTP,برونگرا,شهودی,عقلانی،ادراکی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</si>
</sst>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3000401]0"/>
    <numFmt numFmtId="165" formatCode="[$-960429]dd/mm/yyyy;@"/>
    <numFmt numFmtId="166" formatCode="[$-160429]dd/mm/yyyy;@"/>
    <numFmt numFmtId="167" formatCode="[$-1000000]hh:mm:ss;@"/>
  </numFmts>
  <fonts count="43" x14ac:knownFonts="1">
    <font>
      <sz val="10"/>
      <name val="Arial"/>
      <charset val="178"/>
    </font>
    <font>
      <sz val="10"/>
      <name val="Arial"/>
      <charset val="178"/>
    </font>
    <font>
      <u/>
      <sz val="10"/>
      <color indexed="12"/>
      <name val="B Traffic"/>
      <charset val="178"/>
    </font>
    <font>
      <sz val="12"/>
      <name val="Times New Roman"/>
      <family val="1"/>
    </font>
    <font>
      <sz val="10"/>
      <name val="Arial"/>
      <family val="2"/>
    </font>
    <font>
      <sz val="12"/>
      <color indexed="10"/>
      <name val="B Zar"/>
      <charset val="178"/>
    </font>
    <font>
      <sz val="10"/>
      <color indexed="10"/>
      <name val="Arial"/>
      <family val="2"/>
    </font>
    <font>
      <sz val="10"/>
      <color indexed="9"/>
      <name val="Arial"/>
      <family val="2"/>
    </font>
    <font>
      <sz val="12"/>
      <color indexed="10"/>
      <name val="Times New Roman"/>
      <family val="1"/>
    </font>
    <font>
      <b/>
      <sz val="12"/>
      <color indexed="10"/>
      <name val="B Mitra"/>
      <charset val="178"/>
    </font>
    <font>
      <sz val="12"/>
      <color indexed="10"/>
      <name val="B Mitra"/>
      <charset val="178"/>
    </font>
    <font>
      <sz val="11"/>
      <color indexed="10"/>
      <name val="Calibri"/>
      <family val="2"/>
    </font>
    <font>
      <sz val="12"/>
      <name val="B Mitra"/>
      <charset val="178"/>
    </font>
    <font>
      <sz val="20"/>
      <name val="Arial"/>
      <family val="2"/>
    </font>
    <font>
      <u/>
      <sz val="22"/>
      <color indexed="12"/>
      <name val="B Traffic"/>
      <charset val="178"/>
    </font>
    <font>
      <sz val="22"/>
      <color indexed="10"/>
      <name val="Arial"/>
      <family val="2"/>
    </font>
    <font>
      <sz val="14"/>
      <color rgb="FF0070C0"/>
      <name val="B Mitra"/>
      <charset val="178"/>
    </font>
    <font>
      <sz val="26"/>
      <name val="Vazirmatn"/>
    </font>
    <font>
      <sz val="10"/>
      <name val="Vazirmatn"/>
    </font>
    <font>
      <sz val="12"/>
      <name val="Vazirmatn"/>
    </font>
    <font>
      <sz val="16"/>
      <name val="Vazirmatn"/>
    </font>
    <font>
      <b/>
      <sz val="11"/>
      <name val="Vazirmatn"/>
    </font>
    <font>
      <sz val="16"/>
      <color theme="0"/>
      <name val="Vazirmatn"/>
    </font>
    <font>
      <sz val="12"/>
      <color theme="1"/>
      <name val="Vazirmatn"/>
    </font>
    <font>
      <b/>
      <sz val="12"/>
      <color theme="1"/>
      <name val="Vazirmatn"/>
    </font>
    <font>
      <b/>
      <sz val="12"/>
      <color indexed="10"/>
      <name val="Vazirmatn"/>
    </font>
    <font>
      <b/>
      <sz val="20"/>
      <name val="Vazirmatn"/>
    </font>
    <font>
      <sz val="20"/>
      <name val="Vazirmatn"/>
    </font>
    <font>
      <b/>
      <sz val="12"/>
      <color indexed="8"/>
      <name val="Vazirmatn"/>
    </font>
    <font>
      <sz val="12"/>
      <color indexed="8"/>
      <name val="Vazirmatn"/>
    </font>
    <font>
      <b/>
      <sz val="12"/>
      <name val="Vazirmatn"/>
    </font>
    <font>
      <sz val="10"/>
      <color indexed="10"/>
      <name val="Vazirmatn"/>
    </font>
    <font>
      <sz val="10"/>
      <color indexed="9"/>
      <name val="Vazirmatn"/>
    </font>
    <font>
      <sz val="12"/>
      <color indexed="9"/>
      <name val="Vazirmatn"/>
    </font>
    <font>
      <sz val="11"/>
      <color indexed="10"/>
      <name val="Vazirmatn"/>
    </font>
    <font>
      <sz val="12"/>
      <color indexed="10"/>
      <name val="Vazirmatn"/>
    </font>
    <font>
      <sz val="12"/>
      <color theme="0"/>
      <name val="Vazirmatn"/>
    </font>
    <font>
      <sz val="8"/>
      <name val="Arial"/>
      <family val="2"/>
    </font>
    <font>
      <b/>
      <sz val="20"/>
      <color theme="0"/>
      <name val="Vazirmatn"/>
    </font>
    <font>
      <b/>
      <sz val="16"/>
      <color theme="6" tint="-0.499984740745262"/>
      <name val="Vazirmatn"/>
    </font>
    <font>
      <b/>
      <sz val="20"/>
      <color theme="6" tint="-0.499984740745262"/>
      <name val="Vazirmatn"/>
    </font>
    <font>
      <b/>
      <sz val="18"/>
      <color rgb="FF003300"/>
      <name val="Vazirmatn"/>
    </font>
    <font>
      <sz val="12"/>
      <name val="Arial"/>
      <family val="2"/>
      <charset val="178"/>
    </font>
  </fonts>
  <fills count="15">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theme="5" tint="-0.499984740745262"/>
        <bgColor indexed="64"/>
      </patternFill>
    </fill>
    <fill>
      <patternFill patternType="solid">
        <fgColor theme="8" tint="-0.499984740745262"/>
        <bgColor indexed="64"/>
      </patternFill>
    </fill>
    <fill>
      <patternFill patternType="solid">
        <fgColor theme="2"/>
        <bgColor indexed="64"/>
      </patternFill>
    </fill>
    <fill>
      <patternFill patternType="solid">
        <fgColor theme="6"/>
        <bgColor theme="6"/>
      </patternFill>
    </fill>
    <fill>
      <patternFill patternType="solid">
        <fgColor theme="6" tint="0.59999389629810485"/>
        <bgColor theme="6" tint="0.59999389629810485"/>
      </patternFill>
    </fill>
    <fill>
      <patternFill patternType="solid">
        <fgColor theme="6"/>
        <bgColor indexed="64"/>
      </patternFill>
    </fill>
    <fill>
      <patternFill patternType="solid">
        <fgColor theme="6" tint="0.59999389629810485"/>
        <bgColor indexed="64"/>
      </patternFill>
    </fill>
    <fill>
      <patternFill patternType="solid">
        <fgColor theme="2" tint="-9.9978637043366805E-2"/>
        <bgColor indexed="64"/>
      </patternFill>
    </fill>
    <fill>
      <gradientFill>
        <stop position="0">
          <color rgb="FF0070C0"/>
        </stop>
        <stop position="1">
          <color rgb="FFFF0000"/>
        </stop>
      </gradientFill>
    </fill>
    <fill>
      <patternFill patternType="solid">
        <fgColor theme="0" tint="-0.249977111117893"/>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top/>
      <bottom/>
      <diagonal/>
    </border>
    <border>
      <left/>
      <right style="medium">
        <color indexed="64"/>
      </right>
      <top/>
      <bottom/>
      <diagonal/>
    </border>
  </borders>
  <cellStyleXfs count="3">
    <xf numFmtId="0" fontId="0" fillId="0" borderId="0"/>
    <xf numFmtId="0" fontId="2" fillId="0" borderId="0" applyNumberFormat="0" applyFill="0" applyBorder="0" applyAlignment="0" applyProtection="0">
      <alignment vertical="top"/>
      <protection locked="0"/>
    </xf>
    <xf numFmtId="9" fontId="1" fillId="0" borderId="0" applyFont="0" applyFill="0" applyBorder="0" applyAlignment="0" applyProtection="0"/>
  </cellStyleXfs>
  <cellXfs count="141">
    <xf numFmtId="0" fontId="0" fillId="0" borderId="0" xfId="0"/>
    <xf numFmtId="0" fontId="5" fillId="2" borderId="0" xfId="0" applyFont="1" applyFill="1" applyAlignment="1">
      <alignment horizontal="center" vertical="center"/>
    </xf>
    <xf numFmtId="0" fontId="0" fillId="2" borderId="0" xfId="0" applyFill="1"/>
    <xf numFmtId="0" fontId="4" fillId="2" borderId="0" xfId="0" applyFont="1" applyFill="1"/>
    <xf numFmtId="0" fontId="6" fillId="2" borderId="0" xfId="0" applyFont="1" applyFill="1"/>
    <xf numFmtId="0" fontId="7" fillId="2" borderId="0" xfId="0" applyFont="1" applyFill="1"/>
    <xf numFmtId="0" fontId="13" fillId="2" borderId="0" xfId="0" applyFont="1" applyFill="1" applyAlignment="1">
      <alignment horizontal="left" vertical="center"/>
    </xf>
    <xf numFmtId="0" fontId="19" fillId="0" borderId="1" xfId="0" applyFont="1" applyBorder="1" applyAlignment="1">
      <alignment horizontal="right" vertical="center" wrapText="1" readingOrder="2"/>
    </xf>
    <xf numFmtId="0" fontId="19" fillId="2" borderId="1" xfId="0" applyFont="1" applyFill="1" applyBorder="1" applyAlignment="1">
      <alignment horizontal="right" vertical="center" wrapText="1" readingOrder="2"/>
    </xf>
    <xf numFmtId="0" fontId="19" fillId="0" borderId="0" xfId="0" applyFont="1" applyAlignment="1">
      <alignment horizontal="center" vertical="center"/>
    </xf>
    <xf numFmtId="0" fontId="19" fillId="0" borderId="0" xfId="0" applyFont="1" applyAlignment="1">
      <alignment horizontal="right" vertical="center"/>
    </xf>
    <xf numFmtId="0" fontId="28" fillId="0" borderId="1" xfId="0" applyFont="1" applyBorder="1" applyAlignment="1">
      <alignment horizontal="center" vertical="center"/>
    </xf>
    <xf numFmtId="0" fontId="29" fillId="0" borderId="0" xfId="0" applyFont="1" applyAlignment="1">
      <alignment horizontal="center" vertical="center"/>
    </xf>
    <xf numFmtId="0" fontId="28" fillId="0" borderId="0" xfId="0" applyFont="1" applyAlignment="1">
      <alignment horizontal="center" vertical="center"/>
    </xf>
    <xf numFmtId="0" fontId="30" fillId="0" borderId="0" xfId="0" applyFont="1" applyAlignment="1">
      <alignment horizontal="center" vertical="center"/>
    </xf>
    <xf numFmtId="0" fontId="31" fillId="0" borderId="0" xfId="0" applyFont="1"/>
    <xf numFmtId="0" fontId="32" fillId="0" borderId="0" xfId="0" applyFont="1"/>
    <xf numFmtId="0" fontId="18" fillId="0" borderId="0" xfId="0" applyFont="1"/>
    <xf numFmtId="0" fontId="33" fillId="0" borderId="0" xfId="0" applyFont="1" applyAlignment="1">
      <alignment horizontal="center" vertical="center"/>
    </xf>
    <xf numFmtId="1" fontId="19" fillId="0" borderId="0" xfId="0" applyNumberFormat="1" applyFont="1" applyAlignment="1">
      <alignment horizontal="center" vertical="center"/>
    </xf>
    <xf numFmtId="0" fontId="34" fillId="0" borderId="0" xfId="0" applyFont="1" applyAlignment="1">
      <alignment horizontal="right" vertical="top" wrapText="1" readingOrder="2"/>
    </xf>
    <xf numFmtId="0" fontId="35" fillId="0" borderId="0" xfId="0" applyFont="1" applyAlignment="1">
      <alignment horizontal="right" vertical="top" wrapText="1" readingOrder="2"/>
    </xf>
    <xf numFmtId="0" fontId="19" fillId="7" borderId="0" xfId="0" applyFont="1" applyFill="1" applyAlignment="1">
      <alignment vertical="center"/>
    </xf>
    <xf numFmtId="0" fontId="19" fillId="7" borderId="0" xfId="0" applyFont="1" applyFill="1" applyAlignment="1">
      <alignment vertical="center" wrapText="1"/>
    </xf>
    <xf numFmtId="0" fontId="19" fillId="7" borderId="0" xfId="0" applyFont="1" applyFill="1" applyAlignment="1">
      <alignment horizontal="right" vertical="center" wrapText="1" readingOrder="2"/>
    </xf>
    <xf numFmtId="0" fontId="18" fillId="7" borderId="0" xfId="0" applyFont="1" applyFill="1" applyAlignment="1">
      <alignment vertical="center"/>
    </xf>
    <xf numFmtId="0" fontId="18" fillId="0" borderId="1" xfId="0" applyFont="1" applyBorder="1" applyAlignment="1">
      <alignment horizontal="center" vertical="center"/>
    </xf>
    <xf numFmtId="0" fontId="18" fillId="7" borderId="0" xfId="0" applyFont="1" applyFill="1" applyAlignment="1">
      <alignment horizontal="center" vertical="center"/>
    </xf>
    <xf numFmtId="0" fontId="20" fillId="7" borderId="0" xfId="0" applyFont="1" applyFill="1" applyAlignment="1">
      <alignment horizontal="center" vertical="center" wrapText="1" readingOrder="2"/>
    </xf>
    <xf numFmtId="0" fontId="22" fillId="6" borderId="0" xfId="0" applyFont="1" applyFill="1" applyAlignment="1">
      <alignment horizontal="center" vertical="center" wrapText="1" readingOrder="2"/>
    </xf>
    <xf numFmtId="0" fontId="5" fillId="7" borderId="0" xfId="0" applyFont="1" applyFill="1" applyAlignment="1">
      <alignment horizontal="center" vertical="center"/>
    </xf>
    <xf numFmtId="0" fontId="28" fillId="0" borderId="7" xfId="0" applyFont="1" applyBorder="1" applyAlignment="1">
      <alignment horizontal="center" vertical="center"/>
    </xf>
    <xf numFmtId="0" fontId="28" fillId="0" borderId="6" xfId="0" applyFont="1" applyBorder="1" applyAlignment="1">
      <alignment horizontal="center" vertical="center"/>
    </xf>
    <xf numFmtId="0" fontId="28" fillId="0" borderId="8" xfId="0" applyFont="1" applyBorder="1" applyAlignment="1">
      <alignment horizontal="center" vertical="center"/>
    </xf>
    <xf numFmtId="0" fontId="28" fillId="0" borderId="4" xfId="0" applyFont="1" applyBorder="1" applyAlignment="1">
      <alignment horizontal="center" vertical="center"/>
    </xf>
    <xf numFmtId="0" fontId="28" fillId="0" borderId="9" xfId="0" applyFont="1" applyBorder="1" applyAlignment="1">
      <alignment horizontal="center" vertical="center"/>
    </xf>
    <xf numFmtId="0" fontId="28" fillId="0" borderId="10" xfId="0" applyFont="1" applyBorder="1" applyAlignment="1">
      <alignment horizontal="center" vertical="center"/>
    </xf>
    <xf numFmtId="0" fontId="28" fillId="0" borderId="3" xfId="0" applyFont="1" applyBorder="1" applyAlignment="1">
      <alignment horizontal="center" vertical="center"/>
    </xf>
    <xf numFmtId="0" fontId="28" fillId="0" borderId="5" xfId="0" applyFont="1" applyBorder="1" applyAlignment="1">
      <alignment horizontal="center" vertical="center"/>
    </xf>
    <xf numFmtId="0" fontId="0" fillId="7" borderId="0" xfId="0" applyFill="1"/>
    <xf numFmtId="0" fontId="6" fillId="7" borderId="0" xfId="0" applyFont="1" applyFill="1"/>
    <xf numFmtId="0" fontId="7" fillId="7" borderId="0" xfId="0" applyFont="1" applyFill="1"/>
    <xf numFmtId="0" fontId="13" fillId="7" borderId="0" xfId="0" applyFont="1" applyFill="1" applyAlignment="1">
      <alignment horizontal="left" vertical="center"/>
    </xf>
    <xf numFmtId="0" fontId="26" fillId="7" borderId="0" xfId="0" applyFont="1" applyFill="1" applyAlignment="1">
      <alignment horizontal="left" vertical="center"/>
    </xf>
    <xf numFmtId="0" fontId="3" fillId="7" borderId="0" xfId="0" applyFont="1" applyFill="1" applyAlignment="1">
      <alignment horizontal="right" readingOrder="2"/>
    </xf>
    <xf numFmtId="0" fontId="12" fillId="7" borderId="0" xfId="0" applyFont="1" applyFill="1" applyAlignment="1">
      <alignment horizontal="right" readingOrder="2"/>
    </xf>
    <xf numFmtId="0" fontId="10" fillId="7" borderId="0" xfId="0" applyFont="1" applyFill="1" applyAlignment="1">
      <alignment horizontal="right" readingOrder="2"/>
    </xf>
    <xf numFmtId="0" fontId="9" fillId="7" borderId="0" xfId="0" applyFont="1" applyFill="1" applyAlignment="1">
      <alignment horizontal="right" readingOrder="2"/>
    </xf>
    <xf numFmtId="0" fontId="11" fillId="7" borderId="0" xfId="0" applyFont="1" applyFill="1" applyAlignment="1">
      <alignment horizontal="right" vertical="top" wrapText="1" readingOrder="2"/>
    </xf>
    <xf numFmtId="0" fontId="8" fillId="7" borderId="0" xfId="0" applyFont="1" applyFill="1" applyAlignment="1">
      <alignment horizontal="right" readingOrder="2"/>
    </xf>
    <xf numFmtId="0" fontId="30" fillId="10" borderId="14" xfId="0" applyFont="1" applyFill="1" applyBorder="1" applyAlignment="1">
      <alignment horizontal="center" vertical="center"/>
    </xf>
    <xf numFmtId="1" fontId="18" fillId="0" borderId="1" xfId="0" applyNumberFormat="1" applyFont="1" applyBorder="1" applyAlignment="1">
      <alignment horizontal="center" vertical="center"/>
    </xf>
    <xf numFmtId="0" fontId="17" fillId="7" borderId="0" xfId="0" applyFont="1" applyFill="1" applyAlignment="1">
      <alignment horizontal="center" vertical="center"/>
    </xf>
    <xf numFmtId="164" fontId="18" fillId="0" borderId="1" xfId="0" applyNumberFormat="1" applyFont="1" applyBorder="1" applyAlignment="1">
      <alignment horizontal="center" vertical="center"/>
    </xf>
    <xf numFmtId="0" fontId="30" fillId="11" borderId="11" xfId="0" applyFont="1" applyFill="1" applyBorder="1" applyAlignment="1">
      <alignment horizontal="center" vertical="center"/>
    </xf>
    <xf numFmtId="0" fontId="30" fillId="11" borderId="12" xfId="0" applyFont="1" applyFill="1" applyBorder="1" applyAlignment="1">
      <alignment horizontal="center" vertical="center"/>
    </xf>
    <xf numFmtId="0" fontId="30" fillId="11" borderId="13" xfId="0" applyFont="1" applyFill="1" applyBorder="1" applyAlignment="1">
      <alignment horizontal="center" vertical="center"/>
    </xf>
    <xf numFmtId="0" fontId="18" fillId="0" borderId="0" xfId="0" applyFont="1" applyAlignment="1">
      <alignment vertical="center"/>
    </xf>
    <xf numFmtId="0" fontId="19" fillId="0" borderId="0" xfId="0" applyFont="1" applyAlignment="1">
      <alignment vertical="center"/>
    </xf>
    <xf numFmtId="0" fontId="31" fillId="7" borderId="0" xfId="0" applyFont="1" applyFill="1" applyAlignment="1">
      <alignment vertical="center"/>
    </xf>
    <xf numFmtId="0" fontId="31" fillId="0" borderId="0" xfId="0" applyFont="1" applyAlignment="1">
      <alignment vertical="center"/>
    </xf>
    <xf numFmtId="0" fontId="35" fillId="7" borderId="0" xfId="0" applyFont="1" applyFill="1" applyAlignment="1">
      <alignment horizontal="center" vertical="center"/>
    </xf>
    <xf numFmtId="0" fontId="35" fillId="0" borderId="0" xfId="0" applyFont="1" applyAlignment="1">
      <alignment horizontal="center" vertical="center"/>
    </xf>
    <xf numFmtId="0" fontId="18" fillId="0" borderId="0" xfId="0" applyFont="1" applyAlignment="1">
      <alignment horizontal="center" vertical="center"/>
    </xf>
    <xf numFmtId="0" fontId="19" fillId="7" borderId="0" xfId="0" applyFont="1" applyFill="1" applyAlignment="1">
      <alignment horizontal="center" vertical="center"/>
    </xf>
    <xf numFmtId="0" fontId="31" fillId="7" borderId="0" xfId="0" applyFont="1" applyFill="1" applyAlignment="1">
      <alignment horizontal="center" vertical="center"/>
    </xf>
    <xf numFmtId="0" fontId="19" fillId="12" borderId="15" xfId="0" applyFont="1" applyFill="1" applyBorder="1" applyAlignment="1">
      <alignment vertical="center"/>
    </xf>
    <xf numFmtId="0" fontId="19" fillId="12" borderId="16" xfId="0" applyFont="1" applyFill="1" applyBorder="1" applyAlignment="1">
      <alignment horizontal="center" vertical="center"/>
    </xf>
    <xf numFmtId="0" fontId="19" fillId="12" borderId="17" xfId="0" applyFont="1" applyFill="1" applyBorder="1" applyAlignment="1">
      <alignment vertical="center"/>
    </xf>
    <xf numFmtId="0" fontId="19" fillId="12" borderId="18" xfId="0" applyFont="1" applyFill="1" applyBorder="1" applyAlignment="1">
      <alignment horizontal="center" vertical="center"/>
    </xf>
    <xf numFmtId="0" fontId="19" fillId="12" borderId="19" xfId="0" applyFont="1" applyFill="1" applyBorder="1" applyAlignment="1">
      <alignment vertical="center"/>
    </xf>
    <xf numFmtId="0" fontId="19" fillId="12" borderId="20" xfId="0" applyFont="1" applyFill="1" applyBorder="1" applyAlignment="1">
      <alignment horizontal="center" vertical="center"/>
    </xf>
    <xf numFmtId="1" fontId="17" fillId="7" borderId="0" xfId="0" applyNumberFormat="1" applyFont="1" applyFill="1" applyAlignment="1">
      <alignment horizontal="center" vertical="center"/>
    </xf>
    <xf numFmtId="1" fontId="19" fillId="7" borderId="0" xfId="0" applyNumberFormat="1" applyFont="1" applyFill="1" applyAlignment="1">
      <alignment vertical="center"/>
    </xf>
    <xf numFmtId="1" fontId="19" fillId="7" borderId="0" xfId="0" applyNumberFormat="1" applyFont="1" applyFill="1" applyAlignment="1">
      <alignment horizontal="center" vertical="center" wrapText="1" readingOrder="2"/>
    </xf>
    <xf numFmtId="1" fontId="21" fillId="7" borderId="0" xfId="0" applyNumberFormat="1" applyFont="1" applyFill="1" applyAlignment="1">
      <alignment horizontal="center" vertical="center" wrapText="1" readingOrder="2"/>
    </xf>
    <xf numFmtId="1" fontId="18" fillId="7" borderId="0" xfId="0" applyNumberFormat="1" applyFont="1" applyFill="1" applyAlignment="1">
      <alignment vertical="center"/>
    </xf>
    <xf numFmtId="1" fontId="18" fillId="0" borderId="0" xfId="0" applyNumberFormat="1" applyFont="1" applyAlignment="1">
      <alignment vertical="center"/>
    </xf>
    <xf numFmtId="165" fontId="19" fillId="12" borderId="18" xfId="0" applyNumberFormat="1" applyFont="1" applyFill="1" applyBorder="1" applyAlignment="1">
      <alignment horizontal="center" vertical="center"/>
    </xf>
    <xf numFmtId="165" fontId="19" fillId="7" borderId="0" xfId="0" applyNumberFormat="1" applyFont="1" applyFill="1" applyAlignment="1">
      <alignment horizontal="right" vertical="center"/>
    </xf>
    <xf numFmtId="0" fontId="19" fillId="7" borderId="0" xfId="0" applyFont="1" applyFill="1" applyAlignment="1">
      <alignment horizontal="right" vertical="center"/>
    </xf>
    <xf numFmtId="22" fontId="0" fillId="0" borderId="0" xfId="0" applyNumberFormat="1"/>
    <xf numFmtId="0" fontId="19" fillId="13" borderId="0" xfId="0" applyFont="1" applyFill="1" applyAlignment="1">
      <alignment horizontal="center" vertical="center"/>
    </xf>
    <xf numFmtId="0" fontId="19" fillId="0" borderId="0" xfId="0" applyFont="1" applyAlignment="1">
      <alignment horizontal="left" vertical="center"/>
    </xf>
    <xf numFmtId="0" fontId="0" fillId="0" borderId="0" xfId="0" applyAlignment="1">
      <alignment horizontal="left"/>
    </xf>
    <xf numFmtId="0" fontId="26" fillId="2" borderId="2" xfId="0" applyFont="1" applyFill="1" applyBorder="1" applyAlignment="1">
      <alignment horizontal="left" vertical="center"/>
    </xf>
    <xf numFmtId="0" fontId="26" fillId="2" borderId="21" xfId="0" applyFont="1" applyFill="1" applyBorder="1" applyAlignment="1">
      <alignment horizontal="left" vertical="center"/>
    </xf>
    <xf numFmtId="0" fontId="27" fillId="2" borderId="21" xfId="0" applyFont="1" applyFill="1" applyBorder="1" applyAlignment="1">
      <alignment horizontal="left" vertical="center"/>
    </xf>
    <xf numFmtId="0" fontId="27" fillId="2" borderId="22" xfId="0" applyFont="1" applyFill="1" applyBorder="1" applyAlignment="1">
      <alignment horizontal="left" vertical="center"/>
    </xf>
    <xf numFmtId="166" fontId="19" fillId="7" borderId="0" xfId="0" applyNumberFormat="1" applyFont="1" applyFill="1" applyAlignment="1">
      <alignment horizontal="right" vertical="center"/>
    </xf>
    <xf numFmtId="167" fontId="19" fillId="7" borderId="0" xfId="0" applyNumberFormat="1" applyFont="1" applyFill="1" applyAlignment="1">
      <alignment horizontal="right" vertical="center"/>
    </xf>
    <xf numFmtId="49" fontId="19" fillId="0" borderId="0" xfId="0" applyNumberFormat="1" applyFont="1" applyAlignment="1">
      <alignment horizontal="center" vertical="center"/>
    </xf>
    <xf numFmtId="49" fontId="0" fillId="0" borderId="0" xfId="0" applyNumberFormat="1"/>
    <xf numFmtId="1" fontId="19" fillId="0" borderId="0" xfId="0" applyNumberFormat="1" applyFont="1" applyAlignment="1">
      <alignment vertical="center"/>
    </xf>
    <xf numFmtId="1" fontId="0" fillId="0" borderId="0" xfId="0" applyNumberFormat="1"/>
    <xf numFmtId="9" fontId="23" fillId="9" borderId="13" xfId="0" applyNumberFormat="1" applyFont="1" applyFill="1" applyBorder="1" applyAlignment="1">
      <alignment horizontal="center" vertical="center"/>
    </xf>
    <xf numFmtId="9" fontId="19" fillId="0" borderId="0" xfId="0" applyNumberFormat="1" applyFont="1" applyAlignment="1">
      <alignment horizontal="center" vertical="center"/>
    </xf>
    <xf numFmtId="0" fontId="0" fillId="14" borderId="0" xfId="0" applyFill="1"/>
    <xf numFmtId="0" fontId="36" fillId="8" borderId="26" xfId="0" applyFont="1" applyFill="1" applyBorder="1" applyAlignment="1">
      <alignment horizontal="center" vertical="center"/>
    </xf>
    <xf numFmtId="0" fontId="36" fillId="8" borderId="27" xfId="0" applyFont="1" applyFill="1" applyBorder="1" applyAlignment="1">
      <alignment horizontal="center" vertical="center"/>
    </xf>
    <xf numFmtId="0" fontId="36" fillId="8" borderId="28" xfId="0" applyFont="1" applyFill="1" applyBorder="1" applyAlignment="1">
      <alignment horizontal="center" vertical="center"/>
    </xf>
    <xf numFmtId="9" fontId="24" fillId="9" borderId="11" xfId="2" applyFont="1" applyFill="1" applyBorder="1" applyAlignment="1">
      <alignment horizontal="center" vertical="center"/>
    </xf>
    <xf numFmtId="9" fontId="24" fillId="9" borderId="12" xfId="2" applyFont="1" applyFill="1" applyBorder="1" applyAlignment="1">
      <alignment horizontal="center" vertical="center"/>
    </xf>
    <xf numFmtId="9" fontId="24" fillId="9" borderId="13" xfId="2" applyFont="1" applyFill="1" applyBorder="1" applyAlignment="1">
      <alignment horizontal="center" vertical="center"/>
    </xf>
    <xf numFmtId="9" fontId="23" fillId="9" borderId="11" xfId="0" applyNumberFormat="1" applyFont="1" applyFill="1" applyBorder="1" applyAlignment="1">
      <alignment horizontal="center" vertical="center"/>
    </xf>
    <xf numFmtId="9" fontId="23" fillId="9" borderId="12" xfId="0" applyNumberFormat="1" applyFont="1" applyFill="1" applyBorder="1" applyAlignment="1">
      <alignment horizontal="center" vertical="center"/>
    </xf>
    <xf numFmtId="0" fontId="30" fillId="10" borderId="29" xfId="0" applyFont="1" applyFill="1" applyBorder="1" applyAlignment="1">
      <alignment horizontal="center" vertical="center"/>
    </xf>
    <xf numFmtId="0" fontId="30" fillId="10" borderId="30" xfId="0" applyFont="1" applyFill="1" applyBorder="1" applyAlignment="1">
      <alignment horizontal="center" vertical="center"/>
    </xf>
    <xf numFmtId="0" fontId="0" fillId="0" borderId="0" xfId="0" applyAlignment="1">
      <alignment horizontal="right" vertical="top" wrapText="1" readingOrder="2"/>
    </xf>
    <xf numFmtId="0" fontId="19" fillId="0" borderId="0" xfId="0" applyFont="1" applyAlignment="1">
      <alignment horizontal="left" vertical="top"/>
    </xf>
    <xf numFmtId="0" fontId="25" fillId="7" borderId="0" xfId="0" applyFont="1" applyFill="1" applyAlignment="1">
      <alignment vertical="center" wrapText="1"/>
    </xf>
    <xf numFmtId="0" fontId="40" fillId="2" borderId="21" xfId="0" applyFont="1" applyFill="1" applyBorder="1" applyAlignment="1">
      <alignment horizontal="center" vertical="center"/>
    </xf>
    <xf numFmtId="0" fontId="38" fillId="4" borderId="0" xfId="0" applyFont="1" applyFill="1" applyAlignment="1">
      <alignment horizontal="center" vertical="center"/>
    </xf>
    <xf numFmtId="1" fontId="21" fillId="3" borderId="1" xfId="0" applyNumberFormat="1" applyFont="1" applyFill="1" applyBorder="1" applyAlignment="1">
      <alignment horizontal="center" vertical="center" wrapText="1" readingOrder="2"/>
    </xf>
    <xf numFmtId="0" fontId="17" fillId="7" borderId="0" xfId="0" applyFont="1" applyFill="1" applyAlignment="1">
      <alignment horizontal="center" vertical="center"/>
    </xf>
    <xf numFmtId="0" fontId="18" fillId="7" borderId="0" xfId="0" applyFont="1" applyFill="1" applyAlignment="1">
      <alignment horizontal="center" vertical="center"/>
    </xf>
    <xf numFmtId="0" fontId="22" fillId="5" borderId="0" xfId="0" applyFont="1" applyFill="1" applyAlignment="1">
      <alignment horizontal="center" vertical="center" wrapText="1" readingOrder="2"/>
    </xf>
    <xf numFmtId="1" fontId="30" fillId="3" borderId="3" xfId="0" applyNumberFormat="1" applyFont="1" applyFill="1" applyBorder="1" applyAlignment="1">
      <alignment horizontal="center" vertical="center" wrapText="1" readingOrder="2"/>
    </xf>
    <xf numFmtId="1" fontId="30" fillId="3" borderId="4" xfId="0" applyNumberFormat="1" applyFont="1" applyFill="1" applyBorder="1" applyAlignment="1">
      <alignment horizontal="center" vertical="center" wrapText="1" readingOrder="2"/>
    </xf>
    <xf numFmtId="0" fontId="16" fillId="7" borderId="0" xfId="0" applyFont="1" applyFill="1" applyAlignment="1">
      <alignment horizontal="center" readingOrder="2"/>
    </xf>
    <xf numFmtId="0" fontId="14" fillId="7" borderId="0" xfId="1" applyFont="1" applyFill="1" applyBorder="1" applyAlignment="1" applyProtection="1">
      <alignment horizontal="center"/>
    </xf>
    <xf numFmtId="0" fontId="15" fillId="7" borderId="0" xfId="0" applyFont="1" applyFill="1" applyAlignment="1">
      <alignment horizontal="center"/>
    </xf>
    <xf numFmtId="0" fontId="30" fillId="2" borderId="23" xfId="0" applyFont="1" applyFill="1" applyBorder="1" applyAlignment="1">
      <alignment horizontal="center" vertical="center"/>
    </xf>
    <xf numFmtId="0" fontId="26" fillId="2" borderId="24" xfId="0" applyFont="1" applyFill="1" applyBorder="1" applyAlignment="1">
      <alignment horizontal="center" vertical="center"/>
    </xf>
    <xf numFmtId="0" fontId="26" fillId="2" borderId="25" xfId="0" applyFont="1" applyFill="1" applyBorder="1" applyAlignment="1">
      <alignment horizontal="center" vertical="center"/>
    </xf>
    <xf numFmtId="0" fontId="0" fillId="0" borderId="0" xfId="0" applyFill="1"/>
    <xf numFmtId="1" fontId="0" fillId="0" borderId="0" xfId="0" applyNumberFormat="1" applyFill="1" applyAlignment="1">
      <alignment horizontal="left"/>
    </xf>
    <xf numFmtId="9" fontId="0" fillId="0" borderId="0" xfId="0" applyNumberFormat="1" applyFill="1"/>
    <xf numFmtId="0" fontId="0" fillId="0" borderId="0" xfId="0" applyFill="1" applyAlignment="1">
      <alignment horizontal="left"/>
    </xf>
    <xf numFmtId="0" fontId="0" fillId="0" borderId="0" xfId="0" applyFill="1" applyAlignment="1">
      <alignment horizontal="left" indent="1"/>
    </xf>
    <xf numFmtId="0" fontId="19" fillId="0" borderId="0" xfId="0" applyFont="1" applyAlignment="1">
      <alignment horizontal="right" vertical="center" wrapText="1" readingOrder="2"/>
    </xf>
    <xf numFmtId="0" fontId="39" fillId="2" borderId="31" xfId="0" applyFont="1" applyFill="1" applyBorder="1" applyAlignment="1">
      <alignment horizontal="center" vertical="center" wrapText="1" readingOrder="2"/>
    </xf>
    <xf numFmtId="0" fontId="39" fillId="2" borderId="0" xfId="0" applyFont="1" applyFill="1" applyBorder="1" applyAlignment="1">
      <alignment horizontal="center" vertical="center" wrapText="1" readingOrder="2"/>
    </xf>
    <xf numFmtId="0" fontId="39" fillId="2" borderId="32" xfId="0" applyFont="1" applyFill="1" applyBorder="1" applyAlignment="1">
      <alignment horizontal="center" vertical="center" wrapText="1" readingOrder="2"/>
    </xf>
    <xf numFmtId="0" fontId="39" fillId="2" borderId="23" xfId="0" applyFont="1" applyFill="1" applyBorder="1" applyAlignment="1">
      <alignment horizontal="center" vertical="center" wrapText="1" readingOrder="2"/>
    </xf>
    <xf numFmtId="0" fontId="39" fillId="2" borderId="24" xfId="0" applyFont="1" applyFill="1" applyBorder="1" applyAlignment="1">
      <alignment horizontal="center" vertical="center" wrapText="1" readingOrder="2"/>
    </xf>
    <xf numFmtId="0" fontId="39" fillId="2" borderId="25" xfId="0" applyFont="1" applyFill="1" applyBorder="1" applyAlignment="1">
      <alignment horizontal="center" vertical="center" wrapText="1" readingOrder="2"/>
    </xf>
    <xf numFmtId="0" fontId="39" fillId="2" borderId="2" xfId="0" applyFont="1" applyFill="1" applyBorder="1" applyAlignment="1">
      <alignment horizontal="center" vertical="center" wrapText="1" readingOrder="2"/>
    </xf>
    <xf numFmtId="0" fontId="39" fillId="2" borderId="21" xfId="0" applyFont="1" applyFill="1" applyBorder="1" applyAlignment="1">
      <alignment horizontal="center" vertical="center" wrapText="1" readingOrder="2"/>
    </xf>
    <xf numFmtId="0" fontId="39" fillId="2" borderId="22" xfId="0" applyFont="1" applyFill="1" applyBorder="1" applyAlignment="1">
      <alignment horizontal="center" vertical="center" wrapText="1" readingOrder="2"/>
    </xf>
    <xf numFmtId="0" fontId="42" fillId="0" borderId="0" xfId="0" applyFont="1"/>
  </cellXfs>
  <cellStyles count="3">
    <cellStyle name="Hyperlink" xfId="1" builtinId="8"/>
    <cellStyle name="Normal" xfId="0" builtinId="0"/>
    <cellStyle name="Percent" xfId="2" builtinId="5"/>
  </cellStyles>
  <dxfs count="64">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12"/>
        <color auto="1"/>
        <name val="Vazirmatn"/>
        <scheme val="none"/>
      </font>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numFmt numFmtId="1" formatCode="0"/>
      <alignment horizontal="general"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numFmt numFmtId="1" formatCode="0"/>
      <alignment horizontal="general"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left"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left"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righ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Vazirmatn"/>
        <scheme val="none"/>
      </font>
      <alignment horizontal="general" vertical="center" textRotation="0" wrapText="0" indent="0" justifyLastLine="0" shrinkToFit="0" readingOrder="0"/>
    </dxf>
    <dxf>
      <font>
        <b/>
        <i val="0"/>
        <strike val="0"/>
        <condense val="0"/>
        <extend val="0"/>
        <outline val="0"/>
        <shadow val="0"/>
        <u val="none"/>
        <vertAlign val="baseline"/>
        <sz val="12"/>
        <color indexed="8"/>
        <name val="Vazirmatn"/>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2"/>
        <color indexed="8"/>
        <name val="Vazirmatn"/>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indexed="8"/>
        <name val="Vazirmatn"/>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indexed="8"/>
        <name val="Vazirmatn"/>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patternFill>
      </fill>
    </dxf>
    <dxf>
      <fill>
        <patternFill>
          <bgColor theme="4"/>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441477603897461"/>
          <c:y val="0.11722501731765071"/>
          <c:w val="0.70946101989420551"/>
          <c:h val="0.75358939704204009"/>
        </c:manualLayout>
      </c:layout>
      <c:radarChart>
        <c:radarStyle val="marker"/>
        <c:varyColors val="0"/>
        <c:ser>
          <c:idx val="0"/>
          <c:order val="0"/>
          <c:spPr>
            <a:ln w="25400">
              <a:solidFill>
                <a:srgbClr val="FF00FF"/>
              </a:solidFill>
              <a:prstDash val="solid"/>
            </a:ln>
          </c:spPr>
          <c:marker>
            <c:symbol val="circle"/>
            <c:size val="5"/>
            <c:spPr>
              <a:solidFill>
                <a:srgbClr val="FF00FF"/>
              </a:solidFill>
              <a:ln>
                <a:solidFill>
                  <a:srgbClr val="FF00FF"/>
                </a:solidFill>
                <a:prstDash val="solid"/>
              </a:ln>
            </c:spPr>
          </c:marker>
          <c:val>
            <c:numRef>
              <c:f>'سوالات آزمون'!#REF!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'سوالات آزمون'!#REF!</c15:sqref>
                        </c15:formulaRef>
                      </c:ext>
                    </c:extLst>
                  </c:multiLvlStrRef>
                </c15:cat>
              </c15:filteredCategoryTitle>
            </c:ext>
            <c:ext xmlns:c16="http://schemas.microsoft.com/office/drawing/2014/chart" uri="{C3380CC4-5D6E-409C-BE32-E72D297353CC}">
              <c16:uniqueId val="{00000000-44F5-402F-9409-8773B7BE0FA6}"/>
            </c:ext>
          </c:extLst>
        </c:ser>
        <c:ser>
          <c:idx val="1"/>
          <c:order val="1"/>
          <c:spPr>
            <a:ln w="25400">
              <a:solidFill>
                <a:srgbClr val="0000FF"/>
              </a:solidFill>
              <a:prstDash val="solid"/>
            </a:ln>
          </c:spPr>
          <c:marker>
            <c:symbol val="circle"/>
            <c:size val="5"/>
            <c:spPr>
              <a:solidFill>
                <a:srgbClr val="0000FF"/>
              </a:solidFill>
              <a:ln>
                <a:solidFill>
                  <a:srgbClr val="0000FF"/>
                </a:solidFill>
                <a:prstDash val="solid"/>
              </a:ln>
            </c:spPr>
          </c:marker>
          <c:val>
            <c:numRef>
              <c:f>'سوالات آزمون'!#REF!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'سوالات آزمون'!#REF!</c15:sqref>
                        </c15:formulaRef>
                      </c:ext>
                    </c:extLst>
                  </c:multiLvlStrRef>
                </c15:cat>
              </c15:filteredCategoryTitle>
            </c:ext>
            <c:ext xmlns:c16="http://schemas.microsoft.com/office/drawing/2014/chart" uri="{C3380CC4-5D6E-409C-BE32-E72D297353CC}">
              <c16:uniqueId val="{00000001-44F5-402F-9409-8773B7BE0FA6}"/>
            </c:ext>
          </c:extLst>
        </c:ser>
        <c:dLbls>
          <c:showLegendKey val="0"/>
          <c:showVal val="0"/>
          <c:showCatName val="0"/>
          <c:showSerName val="0"/>
          <c:showPercent val="0"/>
          <c:showBubbleSize val="0"/>
        </c:dLbls>
        <c:axId val="89961984"/>
        <c:axId val="75613312"/>
      </c:radarChart>
      <c:catAx>
        <c:axId val="89961984"/>
        <c:scaling>
          <c:orientation val="maxMin"/>
        </c:scaling>
        <c:delete val="0"/>
        <c:axPos val="b"/>
        <c:majorGridlines/>
        <c:numFmt formatCode="General" sourceLinked="1"/>
        <c:majorTickMark val="out"/>
        <c:minorTickMark val="none"/>
        <c:tickLblPos val="nextTo"/>
        <c:txPr>
          <a:bodyPr rot="0" vert="horz"/>
          <a:lstStyle/>
          <a:p>
            <a:pPr>
              <a:defRPr sz="1000" b="1" i="0" u="none" strike="noStrike" baseline="0">
                <a:solidFill>
                  <a:srgbClr val="000000"/>
                </a:solidFill>
                <a:latin typeface="Arial"/>
                <a:ea typeface="Arial"/>
                <a:cs typeface="Arial"/>
              </a:defRPr>
            </a:pPr>
            <a:endParaRPr lang="fa-IR"/>
          </a:p>
        </c:txPr>
        <c:crossAx val="75613312"/>
        <c:crosses val="autoZero"/>
        <c:auto val="0"/>
        <c:lblAlgn val="ctr"/>
        <c:lblOffset val="100"/>
        <c:noMultiLvlLbl val="0"/>
      </c:catAx>
      <c:valAx>
        <c:axId val="75613312"/>
        <c:scaling>
          <c:orientation val="minMax"/>
          <c:max val="15"/>
          <c:min val="0"/>
        </c:scaling>
        <c:delete val="0"/>
        <c:axPos val="l"/>
        <c:majorGridlines>
          <c:spPr>
            <a:ln w="3175">
              <a:solidFill>
                <a:srgbClr val="00FFFF"/>
              </a:solidFill>
              <a:prstDash val="solid"/>
            </a:ln>
          </c:spPr>
        </c:majorGridlines>
        <c:numFmt formatCode="General" sourceLinked="1"/>
        <c:majorTickMark val="cross"/>
        <c:minorTickMark val="none"/>
        <c:tickLblPos val="nextTo"/>
        <c:txPr>
          <a:bodyPr rot="0" vert="horz"/>
          <a:lstStyle/>
          <a:p>
            <a:pPr>
              <a:defRPr sz="1000" b="1" i="0" u="none" strike="noStrike" baseline="0">
                <a:solidFill>
                  <a:srgbClr val="000000"/>
                </a:solidFill>
                <a:latin typeface="Arial"/>
                <a:ea typeface="Arial"/>
                <a:cs typeface="Arial"/>
              </a:defRPr>
            </a:pPr>
            <a:endParaRPr lang="fa-IR"/>
          </a:p>
        </c:txPr>
        <c:crossAx val="89961984"/>
        <c:crosses val="autoZero"/>
        <c:crossBetween val="between"/>
        <c:majorUnit val="3"/>
      </c:valAx>
    </c:plotArea>
    <c:plotVisOnly val="1"/>
    <c:dispBlanksAs val="gap"/>
    <c:showDLblsOverMax val="0"/>
  </c:chart>
  <c:txPr>
    <a:bodyPr/>
    <a:lstStyle/>
    <a:p>
      <a:pPr>
        <a:defRPr sz="1000" b="1" i="0" u="none" strike="noStrike" baseline="0">
          <a:solidFill>
            <a:srgbClr val="000000"/>
          </a:solidFill>
          <a:latin typeface="Arial"/>
          <a:ea typeface="Arial"/>
          <a:cs typeface="Arial"/>
        </a:defRPr>
      </a:pPr>
      <a:endParaRPr lang="fa-IR"/>
    </a:p>
  </c:txPr>
  <c:printSettings>
    <c:headerFooter/>
    <c:pageMargins b="1" l="0.75000000000000022" r="0.750000000000000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Concat!$D$5</c:f>
          <c:strCache>
            <c:ptCount val="1"/>
            <c:pt idx="0">
              <c:v>ENFP</c:v>
            </c:pt>
          </c:strCache>
        </c:strRef>
      </c:tx>
      <c:overlay val="0"/>
      <c:spPr>
        <a:noFill/>
        <a:ln w="0">
          <a:noFill/>
        </a:ln>
        <a:effectLst/>
      </c:spPr>
      <c:txPr>
        <a:bodyPr rot="0" spcFirstLastPara="1" vertOverflow="ellipsis" vert="horz" wrap="square" anchor="ctr" anchorCtr="1"/>
        <a:lstStyle/>
        <a:p>
          <a:pPr>
            <a:defRPr sz="2000" b="1" i="0" u="none" strike="noStrike" kern="1200" spc="0" baseline="0">
              <a:ln>
                <a:noFill/>
              </a:ln>
              <a:solidFill>
                <a:schemeClr val="accent3">
                  <a:lumMod val="50000"/>
                </a:schemeClr>
              </a:solidFill>
              <a:latin typeface="Vazirmatn" pitchFamily="2" charset="-78"/>
              <a:ea typeface="+mn-ea"/>
              <a:cs typeface="Vazirmatn" pitchFamily="2" charset="-78"/>
            </a:defRPr>
          </a:pPr>
          <a:endParaRPr lang="en-US"/>
        </a:p>
      </c:txPr>
    </c:title>
    <c:autoTitleDeleted val="0"/>
    <c:plotArea>
      <c:layout>
        <c:manualLayout>
          <c:layoutTarget val="inner"/>
          <c:xMode val="edge"/>
          <c:yMode val="edge"/>
          <c:x val="0.18410217173037877"/>
          <c:y val="0.25057720057720057"/>
          <c:w val="0.71481131740451265"/>
          <c:h val="0.70252525252525255"/>
        </c:manualLayout>
      </c:layout>
      <c:barChart>
        <c:barDir val="bar"/>
        <c:grouping val="stacked"/>
        <c:varyColors val="0"/>
        <c:ser>
          <c:idx val="0"/>
          <c:order val="0"/>
          <c:spPr>
            <a:solidFill>
              <a:srgbClr val="4F81BD"/>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1100" b="1" i="0" u="none" strike="noStrike" kern="1200" baseline="0">
                    <a:ln>
                      <a:noFill/>
                    </a:ln>
                    <a:solidFill>
                      <a:sysClr val="windowText" lastClr="000000"/>
                    </a:solidFill>
                    <a:latin typeface="Vazirmatn" pitchFamily="2" charset="-78"/>
                    <a:ea typeface="+mn-ea"/>
                    <a:cs typeface="Vazirmatn" pitchFamily="2" charset="-78"/>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Process!$F$3:$I$3</c:f>
              <c:strCache>
                <c:ptCount val="4"/>
                <c:pt idx="0">
                  <c:v>I / E</c:v>
                </c:pt>
                <c:pt idx="1">
                  <c:v>S / N</c:v>
                </c:pt>
                <c:pt idx="2">
                  <c:v>T / F</c:v>
                </c:pt>
                <c:pt idx="3">
                  <c:v>J / P</c:v>
                </c:pt>
              </c:strCache>
            </c:strRef>
          </c:cat>
          <c:val>
            <c:numRef>
              <c:f>Process!$F$4:$I$4</c:f>
              <c:numCache>
                <c:formatCode>0%</c:formatCode>
                <c:ptCount val="4"/>
                <c:pt idx="0">
                  <c:v>0</c:v>
                </c:pt>
                <c:pt idx="1">
                  <c:v>0</c:v>
                </c:pt>
                <c:pt idx="2">
                  <c:v>0</c:v>
                </c:pt>
                <c:pt idx="3">
                  <c:v>0</c:v>
                </c:pt>
              </c:numCache>
            </c:numRef>
          </c:val>
          <c:extLst>
            <c:ext xmlns:c16="http://schemas.microsoft.com/office/drawing/2014/chart" uri="{C3380CC4-5D6E-409C-BE32-E72D297353CC}">
              <c16:uniqueId val="{00000000-2F3D-4FF2-B36A-F2FD1DBCB394}"/>
            </c:ext>
          </c:extLst>
        </c:ser>
        <c:ser>
          <c:idx val="1"/>
          <c:order val="1"/>
          <c:spPr>
            <a:solidFill>
              <a:srgbClr val="C0504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ln>
                      <a:noFill/>
                    </a:ln>
                    <a:solidFill>
                      <a:sysClr val="windowText" lastClr="000000"/>
                    </a:solidFill>
                    <a:latin typeface="Vazirmatn" pitchFamily="2" charset="-78"/>
                    <a:ea typeface="+mn-ea"/>
                    <a:cs typeface="Vazirmatn" pitchFamily="2" charset="-78"/>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Process!$F$3:$I$3</c:f>
              <c:strCache>
                <c:ptCount val="4"/>
                <c:pt idx="0">
                  <c:v>I / E</c:v>
                </c:pt>
                <c:pt idx="1">
                  <c:v>S / N</c:v>
                </c:pt>
                <c:pt idx="2">
                  <c:v>T / F</c:v>
                </c:pt>
                <c:pt idx="3">
                  <c:v>J / P</c:v>
                </c:pt>
              </c:strCache>
            </c:strRef>
          </c:cat>
          <c:val>
            <c:numRef>
              <c:f>Process!$F$5:$I$5</c:f>
              <c:numCache>
                <c:formatCode>0%</c:formatCode>
                <c:ptCount val="4"/>
                <c:pt idx="0">
                  <c:v>1</c:v>
                </c:pt>
                <c:pt idx="1">
                  <c:v>1</c:v>
                </c:pt>
                <c:pt idx="2">
                  <c:v>1</c:v>
                </c:pt>
                <c:pt idx="3">
                  <c:v>1</c:v>
                </c:pt>
              </c:numCache>
            </c:numRef>
          </c:val>
          <c:extLst xmlns:c15="http://schemas.microsoft.com/office/drawing/2012/chart">
            <c:ext xmlns:c16="http://schemas.microsoft.com/office/drawing/2014/chart" uri="{C3380CC4-5D6E-409C-BE32-E72D297353CC}">
              <c16:uniqueId val="{00000001-2F3D-4FF2-B36A-F2FD1DBCB394}"/>
            </c:ext>
          </c:extLst>
        </c:ser>
        <c:dLbls>
          <c:showLegendKey val="0"/>
          <c:showVal val="0"/>
          <c:showCatName val="0"/>
          <c:showSerName val="0"/>
          <c:showPercent val="0"/>
          <c:showBubbleSize val="0"/>
        </c:dLbls>
        <c:gapWidth val="150"/>
        <c:overlap val="100"/>
        <c:axId val="1005195391"/>
        <c:axId val="1005196831"/>
      </c:barChart>
      <c:catAx>
        <c:axId val="1005195391"/>
        <c:scaling>
          <c:orientation val="maxMin"/>
        </c:scaling>
        <c:delete val="0"/>
        <c:axPos val="r"/>
        <c:title>
          <c:tx>
            <c:rich>
              <a:bodyPr rot="0" spcFirstLastPara="1" vertOverflow="ellipsis"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30" b="1" i="0" u="none" strike="noStrike" kern="1200" baseline="0">
                    <a:ln>
                      <a:noFill/>
                    </a:ln>
                    <a:solidFill>
                      <a:sysClr val="windowText" lastClr="000000"/>
                    </a:solidFill>
                    <a:latin typeface="Vazirmatn" pitchFamily="2" charset="-78"/>
                    <a:ea typeface="+mn-ea"/>
                    <a:cs typeface="Vazirmatn" pitchFamily="2" charset="-78"/>
                  </a:defRPr>
                </a:pPr>
                <a:r>
                  <a:rPr lang="fa-IR" sz="1030" b="1" i="0" u="none" strike="noStrike" kern="1200" baseline="0">
                    <a:ln>
                      <a:noFill/>
                    </a:ln>
                    <a:solidFill>
                      <a:sysClr val="windowText" lastClr="000000"/>
                    </a:solidFill>
                    <a:latin typeface="Vazirmatn" pitchFamily="2" charset="-78"/>
                    <a:cs typeface="Vazirmatn" pitchFamily="2" charset="-78"/>
                  </a:rPr>
                  <a:t>برونگرا / درونگرا</a:t>
                </a:r>
                <a:endParaRPr lang="en-US" sz="1030" b="1" i="0" u="none" strike="noStrike" kern="1200" baseline="0">
                  <a:ln>
                    <a:noFill/>
                  </a:ln>
                  <a:solidFill>
                    <a:sysClr val="windowText" lastClr="000000"/>
                  </a:solidFill>
                  <a:latin typeface="Vazirmatn" pitchFamily="2" charset="-78"/>
                  <a:cs typeface="Vazirmatn" pitchFamily="2" charset="-78"/>
                </a:endParaRPr>
              </a:p>
              <a:p>
                <a:pPr marL="0" marR="0" lvl="0" indent="0" algn="ctr" defTabSz="914400" rtl="0" eaLnBrk="1" fontAlgn="auto" latinLnBrk="0" hangingPunct="1">
                  <a:lnSpc>
                    <a:spcPct val="100000"/>
                  </a:lnSpc>
                  <a:spcBef>
                    <a:spcPts val="0"/>
                  </a:spcBef>
                  <a:spcAft>
                    <a:spcPts val="0"/>
                  </a:spcAft>
                  <a:buClrTx/>
                  <a:buSzTx/>
                  <a:buFontTx/>
                  <a:buNone/>
                  <a:tabLst/>
                  <a:defRPr sz="1030"/>
                </a:pPr>
                <a:endParaRPr lang="fa-IR" sz="1030" b="1" baseline="0"/>
              </a:p>
              <a:p>
                <a:pPr marL="0" marR="0" lvl="0" indent="0" algn="ctr" defTabSz="914400" rtl="0" eaLnBrk="1" fontAlgn="auto" latinLnBrk="0" hangingPunct="1">
                  <a:lnSpc>
                    <a:spcPct val="100000"/>
                  </a:lnSpc>
                  <a:spcBef>
                    <a:spcPts val="0"/>
                  </a:spcBef>
                  <a:spcAft>
                    <a:spcPts val="0"/>
                  </a:spcAft>
                  <a:buClrTx/>
                  <a:buSzTx/>
                  <a:buFontTx/>
                  <a:buNone/>
                  <a:tabLst/>
                  <a:defRPr sz="1030"/>
                </a:pPr>
                <a:endParaRPr lang="fa-IR" sz="1030" b="1" baseline="0"/>
              </a:p>
              <a:p>
                <a:pPr marL="0" marR="0" lvl="0" indent="0" algn="ctr" defTabSz="914400" rtl="0" eaLnBrk="1" fontAlgn="auto" latinLnBrk="0" hangingPunct="1">
                  <a:lnSpc>
                    <a:spcPct val="100000"/>
                  </a:lnSpc>
                  <a:spcBef>
                    <a:spcPts val="0"/>
                  </a:spcBef>
                  <a:spcAft>
                    <a:spcPts val="0"/>
                  </a:spcAft>
                  <a:buClrTx/>
                  <a:buSzTx/>
                  <a:buFontTx/>
                  <a:buNone/>
                  <a:tabLst/>
                  <a:defRPr sz="1030"/>
                </a:pPr>
                <a:r>
                  <a:rPr lang="fa-IR" sz="1030" b="1" i="0" u="none" strike="noStrike" kern="1200" baseline="0">
                    <a:ln>
                      <a:noFill/>
                    </a:ln>
                    <a:solidFill>
                      <a:sysClr val="windowText" lastClr="000000"/>
                    </a:solidFill>
                    <a:latin typeface="Vazirmatn" pitchFamily="2" charset="-78"/>
                    <a:cs typeface="Vazirmatn" pitchFamily="2" charset="-78"/>
                  </a:rPr>
                  <a:t>شهودی / حسی</a:t>
                </a:r>
              </a:p>
              <a:p>
                <a:pPr marL="0" marR="0" lvl="0" indent="0" algn="ctr" defTabSz="914400" rtl="0" eaLnBrk="1" fontAlgn="auto" latinLnBrk="0" hangingPunct="1">
                  <a:lnSpc>
                    <a:spcPct val="100000"/>
                  </a:lnSpc>
                  <a:spcBef>
                    <a:spcPts val="0"/>
                  </a:spcBef>
                  <a:spcAft>
                    <a:spcPts val="0"/>
                  </a:spcAft>
                  <a:buClrTx/>
                  <a:buSzTx/>
                  <a:buFontTx/>
                  <a:buNone/>
                  <a:tabLst/>
                  <a:defRPr sz="1030"/>
                </a:pPr>
                <a:endParaRPr lang="fa-IR" sz="1030" b="1" baseline="0"/>
              </a:p>
              <a:p>
                <a:pPr marL="0" marR="0" lvl="0" indent="0" algn="ctr" defTabSz="914400" rtl="0" eaLnBrk="1" fontAlgn="auto" latinLnBrk="0" hangingPunct="1">
                  <a:lnSpc>
                    <a:spcPct val="100000"/>
                  </a:lnSpc>
                  <a:spcBef>
                    <a:spcPts val="0"/>
                  </a:spcBef>
                  <a:spcAft>
                    <a:spcPts val="0"/>
                  </a:spcAft>
                  <a:buClrTx/>
                  <a:buSzTx/>
                  <a:buFontTx/>
                  <a:buNone/>
                  <a:tabLst/>
                  <a:defRPr sz="1030"/>
                </a:pPr>
                <a:endParaRPr lang="fa-IR" sz="1030" b="1" baseline="0"/>
              </a:p>
              <a:p>
                <a:pPr marL="0" marR="0" lvl="0" indent="0" algn="ctr" defTabSz="914400" rtl="0" eaLnBrk="1" fontAlgn="auto" latinLnBrk="0" hangingPunct="1">
                  <a:lnSpc>
                    <a:spcPct val="100000"/>
                  </a:lnSpc>
                  <a:spcBef>
                    <a:spcPts val="0"/>
                  </a:spcBef>
                  <a:spcAft>
                    <a:spcPts val="0"/>
                  </a:spcAft>
                  <a:buClrTx/>
                  <a:buSzTx/>
                  <a:buFontTx/>
                  <a:buNone/>
                  <a:tabLst/>
                  <a:defRPr sz="1030"/>
                </a:pPr>
                <a:r>
                  <a:rPr lang="fa-IR" sz="1030" b="1" i="0" u="none" strike="noStrike" kern="1200" baseline="0">
                    <a:ln>
                      <a:noFill/>
                    </a:ln>
                    <a:solidFill>
                      <a:sysClr val="windowText" lastClr="000000"/>
                    </a:solidFill>
                    <a:latin typeface="Vazirmatn" pitchFamily="2" charset="-78"/>
                    <a:cs typeface="Vazirmatn" pitchFamily="2" charset="-78"/>
                  </a:rPr>
                  <a:t>احساسی / فکری</a:t>
                </a:r>
              </a:p>
              <a:p>
                <a:pPr marL="0" marR="0" lvl="0" indent="0" algn="ctr" defTabSz="914400" rtl="0" eaLnBrk="1" fontAlgn="auto" latinLnBrk="0" hangingPunct="1">
                  <a:lnSpc>
                    <a:spcPct val="100000"/>
                  </a:lnSpc>
                  <a:spcBef>
                    <a:spcPts val="0"/>
                  </a:spcBef>
                  <a:spcAft>
                    <a:spcPts val="0"/>
                  </a:spcAft>
                  <a:buClrTx/>
                  <a:buSzTx/>
                  <a:buFontTx/>
                  <a:buNone/>
                  <a:tabLst/>
                  <a:defRPr sz="1030"/>
                </a:pPr>
                <a:endParaRPr lang="fa-IR" sz="1030" b="1" baseline="0"/>
              </a:p>
              <a:p>
                <a:pPr marL="0" marR="0" lvl="0" indent="0" algn="ctr" defTabSz="914400" rtl="0" eaLnBrk="1" fontAlgn="auto" latinLnBrk="0" hangingPunct="1">
                  <a:lnSpc>
                    <a:spcPct val="100000"/>
                  </a:lnSpc>
                  <a:spcBef>
                    <a:spcPts val="0"/>
                  </a:spcBef>
                  <a:spcAft>
                    <a:spcPts val="0"/>
                  </a:spcAft>
                  <a:buClrTx/>
                  <a:buSzTx/>
                  <a:buFontTx/>
                  <a:buNone/>
                  <a:tabLst/>
                  <a:defRPr sz="1030"/>
                </a:pPr>
                <a:endParaRPr lang="fa-IR" sz="1030" b="1" baseline="0"/>
              </a:p>
              <a:p>
                <a:pPr marL="0" marR="0" lvl="0" indent="0" algn="ctr" defTabSz="914400" rtl="0" eaLnBrk="1" fontAlgn="auto" latinLnBrk="0" hangingPunct="1">
                  <a:lnSpc>
                    <a:spcPct val="100000"/>
                  </a:lnSpc>
                  <a:spcBef>
                    <a:spcPts val="0"/>
                  </a:spcBef>
                  <a:spcAft>
                    <a:spcPts val="0"/>
                  </a:spcAft>
                  <a:buClrTx/>
                  <a:buSzTx/>
                  <a:buFontTx/>
                  <a:buNone/>
                  <a:tabLst/>
                  <a:defRPr sz="1030"/>
                </a:pPr>
                <a:r>
                  <a:rPr lang="fa-IR" sz="1030" b="1" i="0" u="none" strike="noStrike" kern="1200" baseline="0">
                    <a:ln>
                      <a:noFill/>
                    </a:ln>
                    <a:solidFill>
                      <a:sysClr val="windowText" lastClr="000000"/>
                    </a:solidFill>
                    <a:latin typeface="Vazirmatn" pitchFamily="2" charset="-78"/>
                    <a:cs typeface="Vazirmatn" pitchFamily="2" charset="-78"/>
                  </a:rPr>
                  <a:t>ادراکی / قضاوتی</a:t>
                </a:r>
              </a:p>
            </c:rich>
          </c:tx>
          <c:layout>
            <c:manualLayout>
              <c:xMode val="edge"/>
              <c:yMode val="edge"/>
              <c:x val="1.5817609791092247E-2"/>
              <c:y val="0.30003607503607505"/>
            </c:manualLayout>
          </c:layout>
          <c:overlay val="0"/>
          <c:spPr>
            <a:noFill/>
            <a:ln>
              <a:noFill/>
            </a:ln>
            <a:effectLst/>
          </c:spPr>
          <c:txPr>
            <a:bodyPr rot="0" spcFirstLastPara="1" vertOverflow="ellipsis"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30" b="1" i="0" u="none" strike="noStrike" kern="1200" baseline="0">
                  <a:ln>
                    <a:noFill/>
                  </a:ln>
                  <a:solidFill>
                    <a:sysClr val="windowText" lastClr="000000"/>
                  </a:solidFill>
                  <a:latin typeface="Vazirmatn" pitchFamily="2" charset="-78"/>
                  <a:ea typeface="+mn-ea"/>
                  <a:cs typeface="Vazirmatn" pitchFamily="2" charset="-78"/>
                </a:defRPr>
              </a:pPr>
              <a:endParaRPr lang="en-US"/>
            </a:p>
          </c:txPr>
        </c:title>
        <c:numFmt formatCode="0%" sourceLinked="0"/>
        <c:majorTickMark val="none"/>
        <c:minorTickMark val="none"/>
        <c:tickLblPos val="nextTo"/>
        <c:spPr>
          <a:noFill/>
          <a:ln w="0" cap="flat" cmpd="sng" algn="ctr">
            <a:noFill/>
            <a:round/>
          </a:ln>
          <a:effectLst/>
        </c:spPr>
        <c:txPr>
          <a:bodyPr rot="-60000000" spcFirstLastPara="1" vertOverflow="ellipsis" vert="horz" wrap="square" anchor="ctr" anchorCtr="1"/>
          <a:lstStyle/>
          <a:p>
            <a:pPr>
              <a:defRPr sz="1100" b="1" i="0" u="none" strike="noStrike" kern="1200" baseline="0">
                <a:ln>
                  <a:noFill/>
                </a:ln>
                <a:solidFill>
                  <a:sysClr val="windowText" lastClr="000000"/>
                </a:solidFill>
                <a:latin typeface="Vazirmatn" pitchFamily="2" charset="-78"/>
                <a:ea typeface="+mn-ea"/>
                <a:cs typeface="Vazirmatn" pitchFamily="2" charset="-78"/>
              </a:defRPr>
            </a:pPr>
            <a:endParaRPr lang="en-US"/>
          </a:p>
        </c:txPr>
        <c:crossAx val="1005196831"/>
        <c:crosses val="max"/>
        <c:auto val="1"/>
        <c:lblAlgn val="ctr"/>
        <c:lblOffset val="100"/>
        <c:noMultiLvlLbl val="0"/>
      </c:catAx>
      <c:valAx>
        <c:axId val="1005196831"/>
        <c:scaling>
          <c:orientation val="minMax"/>
          <c:max val="1"/>
          <c:min val="0"/>
        </c:scaling>
        <c:delete val="0"/>
        <c:axPos val="t"/>
        <c:majorGridlines>
          <c:spPr>
            <a:ln w="9525" cap="flat" cmpd="sng" algn="ctr">
              <a:solidFill>
                <a:schemeClr val="tx1">
                  <a:lumMod val="15000"/>
                  <a:lumOff val="85000"/>
                </a:schemeClr>
              </a:solidFill>
              <a:round/>
            </a:ln>
            <a:effectLst/>
          </c:spPr>
        </c:majorGridlines>
        <c:numFmt formatCode="0%" sourceLinked="1"/>
        <c:majorTickMark val="cross"/>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1" i="0" u="none" strike="noStrike" kern="1200" baseline="0">
                <a:ln>
                  <a:noFill/>
                </a:ln>
                <a:solidFill>
                  <a:sysClr val="windowText" lastClr="000000"/>
                </a:solidFill>
                <a:latin typeface="Vazirmatn" pitchFamily="2" charset="-78"/>
                <a:ea typeface="+mn-ea"/>
                <a:cs typeface="Vazirmatn" pitchFamily="2" charset="-78"/>
              </a:defRPr>
            </a:pPr>
            <a:endParaRPr lang="en-US"/>
          </a:p>
        </c:txPr>
        <c:crossAx val="1005195391"/>
        <c:crosses val="autoZero"/>
        <c:crossBetween val="between"/>
        <c:majorUnit val="0.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12700" cap="flat" cmpd="sng" algn="ctr">
      <a:solidFill>
        <a:sysClr val="windowText" lastClr="000000"/>
      </a:solidFill>
      <a:prstDash val="solid"/>
      <a:round/>
    </a:ln>
    <a:effectLst/>
  </c:spPr>
  <c:txPr>
    <a:bodyPr rot="0" vert="horz" anchor="t" anchorCtr="1"/>
    <a:lstStyle/>
    <a:p>
      <a:pPr>
        <a:defRPr sz="1100" b="1" i="0" baseline="0">
          <a:ln>
            <a:noFill/>
          </a:ln>
          <a:solidFill>
            <a:sysClr val="windowText" lastClr="000000"/>
          </a:solidFill>
          <a:latin typeface="Vazirmatn" pitchFamily="2" charset="-78"/>
          <a:ea typeface="+mn-ea"/>
          <a:cs typeface="Vazirmatn" pitchFamily="2" charset="-78"/>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[MBTI-97-macro.xlsm]Pivot!PivotTable1</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MBTI Scores by Class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Pivot!$C$3</c:f>
              <c:strCache>
                <c:ptCount val="1"/>
                <c:pt idx="0">
                  <c:v>Average of I-E</c:v>
                </c:pt>
              </c:strCache>
            </c:strRef>
          </c:tx>
          <c:spPr>
            <a:solidFill>
              <a:schemeClr val="accent1"/>
            </a:solidFill>
            <a:ln>
              <a:noFill/>
            </a:ln>
            <a:effectLst/>
          </c:spPr>
          <c:invertIfNegative val="0"/>
          <c:cat>
            <c:multiLvlStrRef>
              <c:f>Pivot!$B$4:$B$22</c:f>
              <c:multiLvlStrCache>
                <c:ptCount val="12"/>
                <c:lvl>
                  <c:pt idx="0">
                    <c:v>1</c:v>
                  </c:pt>
                  <c:pt idx="1">
                    <c:v>2</c:v>
                  </c:pt>
                  <c:pt idx="2">
                    <c:v>1</c:v>
                  </c:pt>
                  <c:pt idx="3">
                    <c:v>2</c:v>
                  </c:pt>
                  <c:pt idx="4">
                    <c:v>1</c:v>
                  </c:pt>
                  <c:pt idx="5">
                    <c:v>2</c:v>
                  </c:pt>
                  <c:pt idx="6">
                    <c:v>1</c:v>
                  </c:pt>
                  <c:pt idx="7">
                    <c:v>2</c:v>
                  </c:pt>
                  <c:pt idx="8">
                    <c:v>1</c:v>
                  </c:pt>
                  <c:pt idx="9">
                    <c:v>2</c:v>
                  </c:pt>
                  <c:pt idx="10">
                    <c:v>1</c:v>
                  </c:pt>
                  <c:pt idx="11">
                    <c:v>2</c:v>
                  </c:pt>
                </c:lvl>
                <c:lvl>
                  <c:pt idx="0">
                    <c:v>7</c:v>
                  </c:pt>
                  <c:pt idx="2">
                    <c:v>8</c:v>
                  </c:pt>
                  <c:pt idx="4">
                    <c:v>9</c:v>
                  </c:pt>
                  <c:pt idx="6">
                    <c:v>10</c:v>
                  </c:pt>
                  <c:pt idx="8">
                    <c:v>11</c:v>
                  </c:pt>
                  <c:pt idx="10">
                    <c:v>12</c:v>
                  </c:pt>
                </c:lvl>
              </c:multiLvlStrCache>
            </c:multiLvlStrRef>
          </c:cat>
          <c:val>
            <c:numRef>
              <c:f>Pivot!$C$4:$C$22</c:f>
              <c:numCache>
                <c:formatCode>0%</c:formatCode>
                <c:ptCount val="12"/>
                <c:pt idx="0">
                  <c:v>0.61999999999999988</c:v>
                </c:pt>
                <c:pt idx="1">
                  <c:v>0.68045977011494241</c:v>
                </c:pt>
                <c:pt idx="2">
                  <c:v>0.6440251572327047</c:v>
                </c:pt>
                <c:pt idx="3">
                  <c:v>0.551111111111111</c:v>
                </c:pt>
                <c:pt idx="4">
                  <c:v>0.55833333333333335</c:v>
                </c:pt>
                <c:pt idx="5">
                  <c:v>0.56274509803921546</c:v>
                </c:pt>
                <c:pt idx="6">
                  <c:v>0.62857142857142867</c:v>
                </c:pt>
                <c:pt idx="7">
                  <c:v>0.62795698924731169</c:v>
                </c:pt>
                <c:pt idx="8">
                  <c:v>0.6215686274509804</c:v>
                </c:pt>
                <c:pt idx="9">
                  <c:v>0.6352941176470589</c:v>
                </c:pt>
                <c:pt idx="10">
                  <c:v>0.65555555555555556</c:v>
                </c:pt>
                <c:pt idx="11">
                  <c:v>0.6372549019607846</c:v>
                </c:pt>
              </c:numCache>
            </c:numRef>
          </c:val>
          <c:extLst>
            <c:ext xmlns:c16="http://schemas.microsoft.com/office/drawing/2014/chart" uri="{C3380CC4-5D6E-409C-BE32-E72D297353CC}">
              <c16:uniqueId val="{00000000-08B3-4EF0-957D-FBEE277B99B1}"/>
            </c:ext>
          </c:extLst>
        </c:ser>
        <c:ser>
          <c:idx val="1"/>
          <c:order val="1"/>
          <c:tx>
            <c:strRef>
              <c:f>Pivot!$D$3</c:f>
              <c:strCache>
                <c:ptCount val="1"/>
                <c:pt idx="0">
                  <c:v>Average of S-N</c:v>
                </c:pt>
              </c:strCache>
            </c:strRef>
          </c:tx>
          <c:spPr>
            <a:solidFill>
              <a:schemeClr val="accent2"/>
            </a:solidFill>
            <a:ln>
              <a:noFill/>
            </a:ln>
            <a:effectLst/>
          </c:spPr>
          <c:invertIfNegative val="0"/>
          <c:cat>
            <c:multiLvlStrRef>
              <c:f>Pivot!$B$4:$B$22</c:f>
              <c:multiLvlStrCache>
                <c:ptCount val="12"/>
                <c:lvl>
                  <c:pt idx="0">
                    <c:v>1</c:v>
                  </c:pt>
                  <c:pt idx="1">
                    <c:v>2</c:v>
                  </c:pt>
                  <c:pt idx="2">
                    <c:v>1</c:v>
                  </c:pt>
                  <c:pt idx="3">
                    <c:v>2</c:v>
                  </c:pt>
                  <c:pt idx="4">
                    <c:v>1</c:v>
                  </c:pt>
                  <c:pt idx="5">
                    <c:v>2</c:v>
                  </c:pt>
                  <c:pt idx="6">
                    <c:v>1</c:v>
                  </c:pt>
                  <c:pt idx="7">
                    <c:v>2</c:v>
                  </c:pt>
                  <c:pt idx="8">
                    <c:v>1</c:v>
                  </c:pt>
                  <c:pt idx="9">
                    <c:v>2</c:v>
                  </c:pt>
                  <c:pt idx="10">
                    <c:v>1</c:v>
                  </c:pt>
                  <c:pt idx="11">
                    <c:v>2</c:v>
                  </c:pt>
                </c:lvl>
                <c:lvl>
                  <c:pt idx="0">
                    <c:v>7</c:v>
                  </c:pt>
                  <c:pt idx="2">
                    <c:v>8</c:v>
                  </c:pt>
                  <c:pt idx="4">
                    <c:v>9</c:v>
                  </c:pt>
                  <c:pt idx="6">
                    <c:v>10</c:v>
                  </c:pt>
                  <c:pt idx="8">
                    <c:v>11</c:v>
                  </c:pt>
                  <c:pt idx="10">
                    <c:v>12</c:v>
                  </c:pt>
                </c:lvl>
              </c:multiLvlStrCache>
            </c:multiLvlStrRef>
          </c:cat>
          <c:val>
            <c:numRef>
              <c:f>Pivot!$D$4:$D$22</c:f>
              <c:numCache>
                <c:formatCode>0%</c:formatCode>
                <c:ptCount val="12"/>
                <c:pt idx="0">
                  <c:v>0.49555555555555553</c:v>
                </c:pt>
                <c:pt idx="1">
                  <c:v>0.48505747126436777</c:v>
                </c:pt>
                <c:pt idx="2">
                  <c:v>0.5132075471698111</c:v>
                </c:pt>
                <c:pt idx="3">
                  <c:v>0.45777777777777778</c:v>
                </c:pt>
                <c:pt idx="4">
                  <c:v>0.53125</c:v>
                </c:pt>
                <c:pt idx="5">
                  <c:v>0.46470588235294108</c:v>
                </c:pt>
                <c:pt idx="6">
                  <c:v>0.51047619047619031</c:v>
                </c:pt>
                <c:pt idx="7">
                  <c:v>0.48172043010752685</c:v>
                </c:pt>
                <c:pt idx="8">
                  <c:v>0.50784313725490193</c:v>
                </c:pt>
                <c:pt idx="9">
                  <c:v>0.49803921568627452</c:v>
                </c:pt>
                <c:pt idx="10">
                  <c:v>0.49259259259259264</c:v>
                </c:pt>
                <c:pt idx="11">
                  <c:v>0.48235294117647054</c:v>
                </c:pt>
              </c:numCache>
            </c:numRef>
          </c:val>
          <c:extLst>
            <c:ext xmlns:c16="http://schemas.microsoft.com/office/drawing/2014/chart" uri="{C3380CC4-5D6E-409C-BE32-E72D297353CC}">
              <c16:uniqueId val="{00000001-08B3-4EF0-957D-FBEE277B99B1}"/>
            </c:ext>
          </c:extLst>
        </c:ser>
        <c:ser>
          <c:idx val="2"/>
          <c:order val="2"/>
          <c:tx>
            <c:strRef>
              <c:f>Pivot!$E$3</c:f>
              <c:strCache>
                <c:ptCount val="1"/>
                <c:pt idx="0">
                  <c:v>Average of T-F</c:v>
                </c:pt>
              </c:strCache>
            </c:strRef>
          </c:tx>
          <c:spPr>
            <a:solidFill>
              <a:schemeClr val="accent3"/>
            </a:solidFill>
            <a:ln>
              <a:noFill/>
            </a:ln>
            <a:effectLst/>
          </c:spPr>
          <c:invertIfNegative val="0"/>
          <c:cat>
            <c:multiLvlStrRef>
              <c:f>Pivot!$B$4:$B$22</c:f>
              <c:multiLvlStrCache>
                <c:ptCount val="12"/>
                <c:lvl>
                  <c:pt idx="0">
                    <c:v>1</c:v>
                  </c:pt>
                  <c:pt idx="1">
                    <c:v>2</c:v>
                  </c:pt>
                  <c:pt idx="2">
                    <c:v>1</c:v>
                  </c:pt>
                  <c:pt idx="3">
                    <c:v>2</c:v>
                  </c:pt>
                  <c:pt idx="4">
                    <c:v>1</c:v>
                  </c:pt>
                  <c:pt idx="5">
                    <c:v>2</c:v>
                  </c:pt>
                  <c:pt idx="6">
                    <c:v>1</c:v>
                  </c:pt>
                  <c:pt idx="7">
                    <c:v>2</c:v>
                  </c:pt>
                  <c:pt idx="8">
                    <c:v>1</c:v>
                  </c:pt>
                  <c:pt idx="9">
                    <c:v>2</c:v>
                  </c:pt>
                  <c:pt idx="10">
                    <c:v>1</c:v>
                  </c:pt>
                  <c:pt idx="11">
                    <c:v>2</c:v>
                  </c:pt>
                </c:lvl>
                <c:lvl>
                  <c:pt idx="0">
                    <c:v>7</c:v>
                  </c:pt>
                  <c:pt idx="2">
                    <c:v>8</c:v>
                  </c:pt>
                  <c:pt idx="4">
                    <c:v>9</c:v>
                  </c:pt>
                  <c:pt idx="6">
                    <c:v>10</c:v>
                  </c:pt>
                  <c:pt idx="8">
                    <c:v>11</c:v>
                  </c:pt>
                  <c:pt idx="10">
                    <c:v>12</c:v>
                  </c:pt>
                </c:lvl>
              </c:multiLvlStrCache>
            </c:multiLvlStrRef>
          </c:cat>
          <c:val>
            <c:numRef>
              <c:f>Pivot!$E$4:$E$22</c:f>
              <c:numCache>
                <c:formatCode>0%</c:formatCode>
                <c:ptCount val="12"/>
                <c:pt idx="0">
                  <c:v>0.67111111111111132</c:v>
                </c:pt>
                <c:pt idx="1">
                  <c:v>0.69195402298850583</c:v>
                </c:pt>
                <c:pt idx="2">
                  <c:v>0.71572327044025152</c:v>
                </c:pt>
                <c:pt idx="3">
                  <c:v>0.65999999999999992</c:v>
                </c:pt>
                <c:pt idx="4">
                  <c:v>0.76666666666666705</c:v>
                </c:pt>
                <c:pt idx="5">
                  <c:v>0.73725490196078447</c:v>
                </c:pt>
                <c:pt idx="6">
                  <c:v>0.72761904761904805</c:v>
                </c:pt>
                <c:pt idx="7">
                  <c:v>0.68172043010752714</c:v>
                </c:pt>
                <c:pt idx="8">
                  <c:v>0.79215686274509822</c:v>
                </c:pt>
                <c:pt idx="9">
                  <c:v>0.70784313725490211</c:v>
                </c:pt>
                <c:pt idx="10">
                  <c:v>0.79259259259259296</c:v>
                </c:pt>
                <c:pt idx="11">
                  <c:v>0.75294117647058845</c:v>
                </c:pt>
              </c:numCache>
            </c:numRef>
          </c:val>
          <c:extLst>
            <c:ext xmlns:c16="http://schemas.microsoft.com/office/drawing/2014/chart" uri="{C3380CC4-5D6E-409C-BE32-E72D297353CC}">
              <c16:uniqueId val="{00000002-08B3-4EF0-957D-FBEE277B99B1}"/>
            </c:ext>
          </c:extLst>
        </c:ser>
        <c:ser>
          <c:idx val="3"/>
          <c:order val="3"/>
          <c:tx>
            <c:strRef>
              <c:f>Pivot!$F$3</c:f>
              <c:strCache>
                <c:ptCount val="1"/>
                <c:pt idx="0">
                  <c:v>Average of J-P</c:v>
                </c:pt>
              </c:strCache>
            </c:strRef>
          </c:tx>
          <c:spPr>
            <a:solidFill>
              <a:schemeClr val="accent4"/>
            </a:solidFill>
            <a:ln>
              <a:noFill/>
            </a:ln>
            <a:effectLst/>
          </c:spPr>
          <c:invertIfNegative val="0"/>
          <c:cat>
            <c:multiLvlStrRef>
              <c:f>Pivot!$B$4:$B$22</c:f>
              <c:multiLvlStrCache>
                <c:ptCount val="12"/>
                <c:lvl>
                  <c:pt idx="0">
                    <c:v>1</c:v>
                  </c:pt>
                  <c:pt idx="1">
                    <c:v>2</c:v>
                  </c:pt>
                  <c:pt idx="2">
                    <c:v>1</c:v>
                  </c:pt>
                  <c:pt idx="3">
                    <c:v>2</c:v>
                  </c:pt>
                  <c:pt idx="4">
                    <c:v>1</c:v>
                  </c:pt>
                  <c:pt idx="5">
                    <c:v>2</c:v>
                  </c:pt>
                  <c:pt idx="6">
                    <c:v>1</c:v>
                  </c:pt>
                  <c:pt idx="7">
                    <c:v>2</c:v>
                  </c:pt>
                  <c:pt idx="8">
                    <c:v>1</c:v>
                  </c:pt>
                  <c:pt idx="9">
                    <c:v>2</c:v>
                  </c:pt>
                  <c:pt idx="10">
                    <c:v>1</c:v>
                  </c:pt>
                  <c:pt idx="11">
                    <c:v>2</c:v>
                  </c:pt>
                </c:lvl>
                <c:lvl>
                  <c:pt idx="0">
                    <c:v>7</c:v>
                  </c:pt>
                  <c:pt idx="2">
                    <c:v>8</c:v>
                  </c:pt>
                  <c:pt idx="4">
                    <c:v>9</c:v>
                  </c:pt>
                  <c:pt idx="6">
                    <c:v>10</c:v>
                  </c:pt>
                  <c:pt idx="8">
                    <c:v>11</c:v>
                  </c:pt>
                  <c:pt idx="10">
                    <c:v>12</c:v>
                  </c:pt>
                </c:lvl>
              </c:multiLvlStrCache>
            </c:multiLvlStrRef>
          </c:cat>
          <c:val>
            <c:numRef>
              <c:f>Pivot!$F$4:$F$22</c:f>
              <c:numCache>
                <c:formatCode>0%</c:formatCode>
                <c:ptCount val="12"/>
                <c:pt idx="0">
                  <c:v>0.54000000000000015</c:v>
                </c:pt>
                <c:pt idx="1">
                  <c:v>0.45287356321839078</c:v>
                </c:pt>
                <c:pt idx="2">
                  <c:v>0.52955974842767284</c:v>
                </c:pt>
                <c:pt idx="3">
                  <c:v>0.551111111111111</c:v>
                </c:pt>
                <c:pt idx="4">
                  <c:v>0.52083333333333337</c:v>
                </c:pt>
                <c:pt idx="5">
                  <c:v>0.4686274509803921</c:v>
                </c:pt>
                <c:pt idx="6">
                  <c:v>0.48952380952380953</c:v>
                </c:pt>
                <c:pt idx="7">
                  <c:v>0.48817204301075257</c:v>
                </c:pt>
                <c:pt idx="8">
                  <c:v>0.54313725490196074</c:v>
                </c:pt>
                <c:pt idx="9">
                  <c:v>0.49215686274509785</c:v>
                </c:pt>
                <c:pt idx="10">
                  <c:v>0.48518518518518516</c:v>
                </c:pt>
                <c:pt idx="11">
                  <c:v>0.44901960784313716</c:v>
                </c:pt>
              </c:numCache>
            </c:numRef>
          </c:val>
          <c:extLst>
            <c:ext xmlns:c16="http://schemas.microsoft.com/office/drawing/2014/chart" uri="{C3380CC4-5D6E-409C-BE32-E72D297353CC}">
              <c16:uniqueId val="{00000003-08B3-4EF0-957D-FBEE277B99B1}"/>
            </c:ext>
          </c:extLst>
        </c:ser>
        <c:dLbls>
          <c:showLegendKey val="0"/>
          <c:showVal val="0"/>
          <c:showCatName val="0"/>
          <c:showSerName val="0"/>
          <c:showPercent val="0"/>
          <c:showBubbleSize val="0"/>
        </c:dLbls>
        <c:gapWidth val="219"/>
        <c:overlap val="-27"/>
        <c:axId val="2136290143"/>
        <c:axId val="2136291583"/>
      </c:barChart>
      <c:catAx>
        <c:axId val="213629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291583"/>
        <c:crosses val="autoZero"/>
        <c:auto val="1"/>
        <c:lblAlgn val="ctr"/>
        <c:lblOffset val="100"/>
        <c:noMultiLvlLbl val="0"/>
      </c:catAx>
      <c:valAx>
        <c:axId val="213629158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290143"/>
        <c:crosses val="autoZero"/>
        <c:crossBetween val="between"/>
      </c:valAx>
      <c:spPr>
        <a:noFill/>
        <a:ln>
          <a:noFill/>
        </a:ln>
        <a:effectLst/>
      </c:spPr>
    </c:plotArea>
    <c:legend>
      <c:legendPos val="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[MBTI-97-macro.xlsm]Pivot!PivotTable2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 of Average Scores by Grade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Pivot!$I$3</c:f>
              <c:strCache>
                <c:ptCount val="1"/>
                <c:pt idx="0">
                  <c:v>Average of I-E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cat>
            <c:strRef>
              <c:f>Pivot!$H$4:$H$10</c:f>
              <c:strCache>
                <c:ptCount val="6"/>
                <c:pt idx="0">
                  <c:v>7</c:v>
                </c:pt>
                <c:pt idx="1">
                  <c:v>8</c:v>
                </c:pt>
                <c:pt idx="2">
                  <c:v>9</c:v>
                </c:pt>
                <c:pt idx="3">
                  <c:v>10</c:v>
                </c:pt>
                <c:pt idx="4">
                  <c:v>11</c:v>
                </c:pt>
                <c:pt idx="5">
                  <c:v>12</c:v>
                </c:pt>
              </c:strCache>
            </c:strRef>
          </c:cat>
          <c:val>
            <c:numRef>
              <c:f>Pivot!$I$4:$I$10</c:f>
              <c:numCache>
                <c:formatCode>0%</c:formatCode>
                <c:ptCount val="6"/>
                <c:pt idx="0">
                  <c:v>0.6497175141242939</c:v>
                </c:pt>
                <c:pt idx="1">
                  <c:v>0.61044176706827347</c:v>
                </c:pt>
                <c:pt idx="2">
                  <c:v>0.56060606060606089</c:v>
                </c:pt>
                <c:pt idx="3">
                  <c:v>0.62828282828282844</c:v>
                </c:pt>
                <c:pt idx="4">
                  <c:v>0.6284313725490196</c:v>
                </c:pt>
                <c:pt idx="5">
                  <c:v>0.6466666666666665</c:v>
                </c:pt>
              </c:numCache>
            </c:numRef>
          </c:val>
          <c:smooth val="0"/>
          <c:extLst>
            <c:ext xmlns:c16="http://schemas.microsoft.com/office/drawing/2014/chart" uri="{C3380CC4-5D6E-409C-BE32-E72D297353CC}">
              <c16:uniqueId val="{00000000-90DC-469D-98BE-8B14B5356B79}"/>
            </c:ext>
          </c:extLst>
        </c:ser>
        <c:ser>
          <c:idx val="1"/>
          <c:order val="1"/>
          <c:tx>
            <c:strRef>
              <c:f>Pivot!$J$3</c:f>
              <c:strCache>
                <c:ptCount val="1"/>
                <c:pt idx="0">
                  <c:v>Average of S-N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Pivot!$H$4:$H$10</c:f>
              <c:strCache>
                <c:ptCount val="6"/>
                <c:pt idx="0">
                  <c:v>7</c:v>
                </c:pt>
                <c:pt idx="1">
                  <c:v>8</c:v>
                </c:pt>
                <c:pt idx="2">
                  <c:v>9</c:v>
                </c:pt>
                <c:pt idx="3">
                  <c:v>10</c:v>
                </c:pt>
                <c:pt idx="4">
                  <c:v>11</c:v>
                </c:pt>
                <c:pt idx="5">
                  <c:v>12</c:v>
                </c:pt>
              </c:strCache>
            </c:strRef>
          </c:cat>
          <c:val>
            <c:numRef>
              <c:f>Pivot!$J$4:$J$10</c:f>
              <c:numCache>
                <c:formatCode>0%</c:formatCode>
                <c:ptCount val="6"/>
                <c:pt idx="0">
                  <c:v>0.49039548022598867</c:v>
                </c:pt>
                <c:pt idx="1">
                  <c:v>0.49317269076305198</c:v>
                </c:pt>
                <c:pt idx="2">
                  <c:v>0.49696969696969695</c:v>
                </c:pt>
                <c:pt idx="3">
                  <c:v>0.49696969696969684</c:v>
                </c:pt>
                <c:pt idx="4">
                  <c:v>0.50294117647058845</c:v>
                </c:pt>
                <c:pt idx="5">
                  <c:v>0.48761904761904751</c:v>
                </c:pt>
              </c:numCache>
            </c:numRef>
          </c:val>
          <c:smooth val="0"/>
          <c:extLst>
            <c:ext xmlns:c16="http://schemas.microsoft.com/office/drawing/2014/chart" uri="{C3380CC4-5D6E-409C-BE32-E72D297353CC}">
              <c16:uniqueId val="{00000002-90DC-469D-98BE-8B14B5356B79}"/>
            </c:ext>
          </c:extLst>
        </c:ser>
        <c:ser>
          <c:idx val="2"/>
          <c:order val="2"/>
          <c:tx>
            <c:strRef>
              <c:f>Pivot!$K$3</c:f>
              <c:strCache>
                <c:ptCount val="1"/>
                <c:pt idx="0">
                  <c:v>Average of T-F</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inear"/>
            <c:dispRSqr val="0"/>
            <c:dispEq val="0"/>
          </c:trendline>
          <c:cat>
            <c:strRef>
              <c:f>Pivot!$H$4:$H$10</c:f>
              <c:strCache>
                <c:ptCount val="6"/>
                <c:pt idx="0">
                  <c:v>7</c:v>
                </c:pt>
                <c:pt idx="1">
                  <c:v>8</c:v>
                </c:pt>
                <c:pt idx="2">
                  <c:v>9</c:v>
                </c:pt>
                <c:pt idx="3">
                  <c:v>10</c:v>
                </c:pt>
                <c:pt idx="4">
                  <c:v>11</c:v>
                </c:pt>
                <c:pt idx="5">
                  <c:v>12</c:v>
                </c:pt>
              </c:strCache>
            </c:strRef>
          </c:cat>
          <c:val>
            <c:numRef>
              <c:f>Pivot!$K$4:$K$10</c:f>
              <c:numCache>
                <c:formatCode>0%</c:formatCode>
                <c:ptCount val="6"/>
                <c:pt idx="0">
                  <c:v>0.68135593220338997</c:v>
                </c:pt>
                <c:pt idx="1">
                  <c:v>0.69558232931726893</c:v>
                </c:pt>
                <c:pt idx="2">
                  <c:v>0.75151515151515147</c:v>
                </c:pt>
                <c:pt idx="3">
                  <c:v>0.70606060606060606</c:v>
                </c:pt>
                <c:pt idx="4">
                  <c:v>0.74999999999999989</c:v>
                </c:pt>
                <c:pt idx="5">
                  <c:v>0.77333333333333332</c:v>
                </c:pt>
              </c:numCache>
            </c:numRef>
          </c:val>
          <c:smooth val="0"/>
          <c:extLst>
            <c:ext xmlns:c16="http://schemas.microsoft.com/office/drawing/2014/chart" uri="{C3380CC4-5D6E-409C-BE32-E72D297353CC}">
              <c16:uniqueId val="{00000003-90DC-469D-98BE-8B14B5356B79}"/>
            </c:ext>
          </c:extLst>
        </c:ser>
        <c:ser>
          <c:idx val="3"/>
          <c:order val="3"/>
          <c:tx>
            <c:strRef>
              <c:f>Pivot!$L$3</c:f>
              <c:strCache>
                <c:ptCount val="1"/>
                <c:pt idx="0">
                  <c:v>Average of J-P</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Pivot!$H$4:$H$10</c:f>
              <c:strCache>
                <c:ptCount val="6"/>
                <c:pt idx="0">
                  <c:v>7</c:v>
                </c:pt>
                <c:pt idx="1">
                  <c:v>8</c:v>
                </c:pt>
                <c:pt idx="2">
                  <c:v>9</c:v>
                </c:pt>
                <c:pt idx="3">
                  <c:v>10</c:v>
                </c:pt>
                <c:pt idx="4">
                  <c:v>11</c:v>
                </c:pt>
                <c:pt idx="5">
                  <c:v>12</c:v>
                </c:pt>
              </c:strCache>
            </c:strRef>
          </c:cat>
          <c:val>
            <c:numRef>
              <c:f>Pivot!$L$4:$L$10</c:f>
              <c:numCache>
                <c:formatCode>0%</c:formatCode>
                <c:ptCount val="6"/>
                <c:pt idx="0">
                  <c:v>0.49717514124293788</c:v>
                </c:pt>
                <c:pt idx="1">
                  <c:v>0.53734939759036116</c:v>
                </c:pt>
                <c:pt idx="2">
                  <c:v>0.49393939393939396</c:v>
                </c:pt>
                <c:pt idx="3">
                  <c:v>0.48888888888888887</c:v>
                </c:pt>
                <c:pt idx="4">
                  <c:v>0.51764705882352935</c:v>
                </c:pt>
                <c:pt idx="5">
                  <c:v>0.46761904761904766</c:v>
                </c:pt>
              </c:numCache>
            </c:numRef>
          </c:val>
          <c:smooth val="0"/>
          <c:extLst>
            <c:ext xmlns:c16="http://schemas.microsoft.com/office/drawing/2014/chart" uri="{C3380CC4-5D6E-409C-BE32-E72D297353CC}">
              <c16:uniqueId val="{00000004-90DC-469D-98BE-8B14B5356B79}"/>
            </c:ext>
          </c:extLst>
        </c:ser>
        <c:dLbls>
          <c:showLegendKey val="0"/>
          <c:showVal val="0"/>
          <c:showCatName val="0"/>
          <c:showSerName val="0"/>
          <c:showPercent val="0"/>
          <c:showBubbleSize val="0"/>
        </c:dLbls>
        <c:marker val="1"/>
        <c:smooth val="0"/>
        <c:axId val="2132118175"/>
        <c:axId val="2132116255"/>
      </c:lineChart>
      <c:catAx>
        <c:axId val="21321181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Grade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116255"/>
        <c:crosses val="autoZero"/>
        <c:auto val="1"/>
        <c:lblAlgn val="ctr"/>
        <c:lblOffset val="100"/>
        <c:noMultiLvlLbl val="0"/>
      </c:catAx>
      <c:valAx>
        <c:axId val="2132116255"/>
        <c:scaling>
          <c:orientation val="minMax"/>
          <c:min val="0.4"/>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Score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118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0</xdr:colOff>
      <xdr:row>8</xdr:row>
      <xdr:rowOff>38100</xdr:rowOff>
    </xdr:from>
    <xdr:to>
      <xdr:col>2</xdr:col>
      <xdr:colOff>0</xdr:colOff>
      <xdr:row>31</xdr:row>
      <xdr:rowOff>129540</xdr:rowOff>
    </xdr:to>
    <xdr:graphicFrame macro="">
      <xdr:nvGraphicFramePr>
        <xdr:cNvPr id="370772" name="Chart 1">
          <a:extLst>
            <a:ext uri="{FF2B5EF4-FFF2-40B4-BE49-F238E27FC236}">
              <a16:creationId xmlns:a16="http://schemas.microsoft.com/office/drawing/2014/main" id="{00000000-0008-0000-0000-000054A80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853440</xdr:colOff>
      <xdr:row>1</xdr:row>
      <xdr:rowOff>0</xdr:rowOff>
    </xdr:from>
    <xdr:to>
      <xdr:col>6</xdr:col>
      <xdr:colOff>243840</xdr:colOff>
      <xdr:row>3</xdr:row>
      <xdr:rowOff>213360</xdr:rowOff>
    </xdr:to>
    <xdr:sp macro="" textlink="">
      <xdr:nvSpPr>
        <xdr:cNvPr id="2" name="TextBox 1">
          <a:extLst>
            <a:ext uri="{FF2B5EF4-FFF2-40B4-BE49-F238E27FC236}">
              <a16:creationId xmlns:a16="http://schemas.microsoft.com/office/drawing/2014/main" id="{5E03FB3C-0F34-D2F8-DF30-8D795832D7BF}"/>
            </a:ext>
          </a:extLst>
        </xdr:cNvPr>
        <xdr:cNvSpPr txBox="1"/>
      </xdr:nvSpPr>
      <xdr:spPr>
        <a:xfrm>
          <a:off x="10233042780" y="274320"/>
          <a:ext cx="6918960" cy="746760"/>
        </a:xfrm>
        <a:prstGeom prst="rect">
          <a:avLst/>
        </a:prstGeom>
        <a:solidFill>
          <a:schemeClr val="bg1"/>
        </a:solidFill>
        <a:ln w="12700"/>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rtl="1"/>
          <a:r>
            <a:rPr lang="ar-SA"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توجه: تیپ شخصیتی </a:t>
          </a:r>
          <a:r>
            <a:rPr lang="en-US"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ENFP</a:t>
          </a:r>
          <a:r>
            <a:rPr lang="fa-IR" sz="1400" b="0" cap="none" spc="0" baseline="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 </a:t>
          </a:r>
          <a:r>
            <a:rPr lang="ar-SA"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پیش</a:t>
          </a:r>
          <a:r>
            <a:rPr lang="fa-IR"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a:t>
          </a:r>
          <a:r>
            <a:rPr lang="ar-SA"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فر</a:t>
          </a:r>
          <a:r>
            <a:rPr lang="fa-IR"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ض</a:t>
          </a:r>
          <a:r>
            <a:rPr lang="fa-IR" sz="1400" b="0" cap="none" spc="0" baseline="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 است.</a:t>
          </a:r>
          <a:r>
            <a:rPr lang="ar-SA"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 پس از پاسخگویی دقیق شما به</a:t>
          </a:r>
          <a:r>
            <a:rPr lang="fa-IR"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 تمام</a:t>
          </a:r>
          <a:r>
            <a:rPr lang="ar-SA"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 سوالات،</a:t>
          </a:r>
          <a:r>
            <a:rPr lang="fa-IR"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 </a:t>
          </a:r>
          <a:r>
            <a:rPr lang="ar-SA"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تیپ شخصیتی</a:t>
          </a:r>
          <a:r>
            <a:rPr lang="fa-IR"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a:t>
          </a:r>
          <a:r>
            <a:rPr lang="ar-SA"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تان تعیین و در این</a:t>
          </a:r>
          <a:r>
            <a:rPr lang="fa-IR"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a:t>
          </a:r>
          <a:r>
            <a:rPr lang="ar-SA"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جا نمایش داده می</a:t>
          </a:r>
          <a:r>
            <a:rPr lang="fa-IR"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a:t>
          </a:r>
          <a:r>
            <a:rPr lang="ar-SA"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rPr>
            <a:t>شود.</a:t>
          </a:r>
          <a:endParaRPr lang="en-US" sz="1400" b="0" cap="none" spc="0">
            <a:ln w="0"/>
            <a:solidFill>
              <a:schemeClr val="accent2"/>
            </a:solidFill>
            <a:effectLst>
              <a:outerShdw blurRad="38100" dist="25400" dir="5400000" algn="ctr" rotWithShape="0">
                <a:srgbClr val="6E747A">
                  <a:alpha val="43000"/>
                </a:srgbClr>
              </a:outerShdw>
            </a:effectLst>
            <a:latin typeface="Vazirmatn" pitchFamily="2" charset="-78"/>
            <a:cs typeface="Vazirmatn" pitchFamily="2" charset="-78"/>
          </a:endParaRPr>
        </a:p>
      </xdr:txBody>
    </xdr:sp>
    <xdr:clientData/>
  </xdr:twoCellAnchor>
  <xdr:twoCellAnchor>
    <xdr:from>
      <xdr:col>1</xdr:col>
      <xdr:colOff>853440</xdr:colOff>
      <xdr:row>6</xdr:row>
      <xdr:rowOff>68580</xdr:rowOff>
    </xdr:from>
    <xdr:to>
      <xdr:col>6</xdr:col>
      <xdr:colOff>243840</xdr:colOff>
      <xdr:row>21</xdr:row>
      <xdr:rowOff>0</xdr:rowOff>
    </xdr:to>
    <xdr:graphicFrame macro="">
      <xdr:nvGraphicFramePr>
        <xdr:cNvPr id="7" name="Chart 6">
          <a:extLst>
            <a:ext uri="{FF2B5EF4-FFF2-40B4-BE49-F238E27FC236}">
              <a16:creationId xmlns:a16="http://schemas.microsoft.com/office/drawing/2014/main" id="{52AE5153-2E9E-403B-98FA-36F568F2A0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487680</xdr:colOff>
          <xdr:row>4</xdr:row>
          <xdr:rowOff>22860</xdr:rowOff>
        </xdr:from>
        <xdr:to>
          <xdr:col>6</xdr:col>
          <xdr:colOff>220980</xdr:colOff>
          <xdr:row>5</xdr:row>
          <xdr:rowOff>236220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105156" rIns="54864" bIns="105156" anchor="ctr" upright="1"/>
            <a:lstStyle/>
            <a:p>
              <a:pPr algn="ctr" rtl="1">
                <a:defRPr sz="1000"/>
              </a:pPr>
              <a:r>
                <a:rPr lang="en-US" sz="1800" b="1" i="0" u="none" strike="noStrike" baseline="0">
                  <a:solidFill>
                    <a:srgbClr val="003300"/>
                  </a:solidFill>
                  <a:latin typeface="Vazirmatn"/>
                  <a:cs typeface="Vazirmatn"/>
                </a:rPr>
                <a:t>ثبت فرم</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48260</xdr:colOff>
      <xdr:row>0</xdr:row>
      <xdr:rowOff>93980</xdr:rowOff>
    </xdr:from>
    <xdr:to>
      <xdr:col>11</xdr:col>
      <xdr:colOff>342900</xdr:colOff>
      <xdr:row>30</xdr:row>
      <xdr:rowOff>107950</xdr:rowOff>
    </xdr:to>
    <xdr:graphicFrame macro="">
      <xdr:nvGraphicFramePr>
        <xdr:cNvPr id="11" name="Chart 10">
          <a:extLst>
            <a:ext uri="{FF2B5EF4-FFF2-40B4-BE49-F238E27FC236}">
              <a16:creationId xmlns:a16="http://schemas.microsoft.com/office/drawing/2014/main" id="{3DC9D869-5251-4508-9563-D34C2621BB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444500</xdr:colOff>
      <xdr:row>0</xdr:row>
      <xdr:rowOff>92710</xdr:rowOff>
    </xdr:from>
    <xdr:to>
      <xdr:col>18</xdr:col>
      <xdr:colOff>114300</xdr:colOff>
      <xdr:row>30</xdr:row>
      <xdr:rowOff>114300</xdr:rowOff>
    </xdr:to>
    <xdr:graphicFrame macro="">
      <xdr:nvGraphicFramePr>
        <xdr:cNvPr id="12" name="Chart 11">
          <a:extLst>
            <a:ext uri="{FF2B5EF4-FFF2-40B4-BE49-F238E27FC236}">
              <a16:creationId xmlns:a16="http://schemas.microsoft.com/office/drawing/2014/main" id="{E945C0E8-5485-C70D-1663-429E8B0082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egin Mohammadi" refreshedDate="46107.687556018522" createdVersion="8" refreshedVersion="8" minRefreshableVersion="3" recordCount="412" xr:uid="{275A20BD-E68E-4116-AC62-31A5754E9105}">
  <cacheSource type="worksheet">
    <worksheetSource name="Table1"/>
  </cacheSource>
  <cacheFields count="9">
    <cacheField name="Name" numFmtId="0">
      <sharedItems containsMixedTypes="1" containsNumber="1" containsInteger="1" minValue="7101" maxValue="12234"/>
    </cacheField>
    <cacheField name="Class" numFmtId="49">
      <sharedItems containsSemiMixedTypes="0" containsString="0" containsNumber="1" minValue="7.1" maxValue="12.2"/>
    </cacheField>
    <cacheField name="I-E" numFmtId="9">
      <sharedItems containsSemiMixedTypes="0" containsString="0" containsNumber="1" minValue="0" maxValue="1"/>
    </cacheField>
    <cacheField name="S-N" numFmtId="9">
      <sharedItems containsSemiMixedTypes="0" containsString="0" containsNumber="1" minValue="0" maxValue="1"/>
    </cacheField>
    <cacheField name="T-F" numFmtId="9">
      <sharedItems containsSemiMixedTypes="0" containsString="0" containsNumber="1" minValue="6.6666666666666652E-2" maxValue="1"/>
    </cacheField>
    <cacheField name="J-P" numFmtId="9">
      <sharedItems containsSemiMixedTypes="0" containsString="0" containsNumber="1" minValue="0" maxValue="1"/>
    </cacheField>
    <cacheField name="Type" numFmtId="0">
      <sharedItems/>
    </cacheField>
    <cacheField name="Grade" numFmtId="1">
      <sharedItems containsSemiMixedTypes="0" containsString="0" containsNumber="1" containsInteger="1" minValue="7" maxValue="12" count="6">
        <n v="10"/>
        <n v="9"/>
        <n v="8"/>
        <n v="7"/>
        <n v="11"/>
        <n v="12"/>
      </sharedItems>
    </cacheField>
    <cacheField name="Section" numFmtId="1">
      <sharedItems containsSemiMixedTypes="0" containsString="0" containsNumber="1" containsInteger="1" minValue="1" maxValue="2" count="2">
        <n v="1"/>
        <n v="2"/>
      </sharedItems>
    </cacheField>
  </cacheFields>
  <extLst>
    <ext xmlns:x14="http://schemas.microsoft.com/office/spreadsheetml/2009/9/main" uri="{725AE2AE-9491-48be-B2B4-4EB974FC3084}">
      <x14:pivotCacheDefinition pivotCacheId="12930708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2">
  <r>
    <s v="سعید محمدی"/>
    <n v="10.1"/>
    <n v="0.8"/>
    <n v="0.8"/>
    <n v="0.93333333333333335"/>
    <n v="0.4"/>
    <s v="ISTP"/>
    <x v="0"/>
    <x v="0"/>
  </r>
  <r>
    <s v="شایان مرادی"/>
    <n v="10.1"/>
    <n v="0.1333333333333333"/>
    <n v="0.33333333333333326"/>
    <n v="0.33333333333333326"/>
    <n v="0.73333333333333328"/>
    <s v="ENFJ"/>
    <x v="0"/>
    <x v="0"/>
  </r>
  <r>
    <s v="قدیر شادکام"/>
    <n v="10.1"/>
    <n v="0.8"/>
    <n v="0.4"/>
    <n v="0.8666666666666667"/>
    <n v="6.6666666666666652E-2"/>
    <s v="INTP"/>
    <x v="0"/>
    <x v="0"/>
  </r>
  <r>
    <s v="محراب کاظم لو"/>
    <n v="10.1"/>
    <n v="0.93333333333333335"/>
    <n v="0.66666666666666663"/>
    <n v="0.93333333333333335"/>
    <n v="0.6"/>
    <s v="ISTJ"/>
    <x v="0"/>
    <x v="0"/>
  </r>
  <r>
    <s v="محمد زمانی"/>
    <n v="10.1"/>
    <n v="0.53333333333333333"/>
    <n v="0.46666666666666667"/>
    <n v="0.93333333333333335"/>
    <n v="0.66666666666666663"/>
    <s v="INTJ"/>
    <x v="0"/>
    <x v="0"/>
  </r>
  <r>
    <s v="محمد علی آبادی"/>
    <n v="10.1"/>
    <n v="0.6"/>
    <n v="0.66666666666666663"/>
    <n v="0.8666666666666667"/>
    <n v="0.1333333333333333"/>
    <s v="ISTP"/>
    <x v="0"/>
    <x v="0"/>
  </r>
  <r>
    <s v="محمد مهدی گل افشان"/>
    <n v="9.1"/>
    <n v="0.46666666666666667"/>
    <n v="0.26666666666666661"/>
    <n v="0.73333333333333328"/>
    <n v="0.4"/>
    <s v="ENTP"/>
    <x v="1"/>
    <x v="0"/>
  </r>
  <r>
    <s v="محمد رضا بیابانی"/>
    <n v="9.1"/>
    <n v="0.46666666666666667"/>
    <n v="0.33333333333333326"/>
    <n v="0.8"/>
    <n v="0.26666666666666661"/>
    <s v="ENTP"/>
    <x v="1"/>
    <x v="0"/>
  </r>
  <r>
    <s v="محمدرضا مشهد نعمتی"/>
    <n v="9.1"/>
    <n v="0.8"/>
    <n v="0.33333333333333326"/>
    <n v="0.6"/>
    <n v="0.19999999999999996"/>
    <s v="INTP"/>
    <x v="1"/>
    <x v="0"/>
  </r>
  <r>
    <s v="محمد پورقلی زاده"/>
    <n v="8.1"/>
    <n v="0.66666666666666663"/>
    <n v="0.33333333333333326"/>
    <n v="0.4"/>
    <n v="0.26666666666666661"/>
    <s v="INFP"/>
    <x v="2"/>
    <x v="0"/>
  </r>
  <r>
    <s v="محمد رستمی"/>
    <n v="8.1"/>
    <n v="0.8"/>
    <n v="0.33333333333333326"/>
    <n v="0.93333333333333335"/>
    <n v="0.19999999999999996"/>
    <s v="INTP"/>
    <x v="2"/>
    <x v="0"/>
  </r>
  <r>
    <s v="ابراهیم ابراهیمی"/>
    <n v="8.1"/>
    <n v="0.93333333333333335"/>
    <n v="0.4"/>
    <n v="0.93333333333333335"/>
    <n v="0.66666666666666663"/>
    <s v="INTJ"/>
    <x v="2"/>
    <x v="0"/>
  </r>
  <r>
    <s v="آرمان جوانفرد"/>
    <n v="8.1"/>
    <n v="0.8"/>
    <n v="0.8"/>
    <n v="0.93333333333333335"/>
    <n v="0.6"/>
    <s v="ISTJ"/>
    <x v="2"/>
    <x v="0"/>
  </r>
  <r>
    <s v="آرمین بشیری"/>
    <n v="8.1"/>
    <n v="0.6"/>
    <n v="0.6"/>
    <n v="0.46666666666666667"/>
    <n v="0.66666666666666663"/>
    <s v="ISFJ"/>
    <x v="2"/>
    <x v="0"/>
  </r>
  <r>
    <s v="امیر حسین محمدی"/>
    <n v="8.1"/>
    <n v="0.4"/>
    <n v="0.33333333333333326"/>
    <n v="0.6"/>
    <n v="0.6"/>
    <s v="ENTJ"/>
    <x v="2"/>
    <x v="0"/>
  </r>
  <r>
    <s v="امیر حسین میرزا عرب"/>
    <n v="8.1"/>
    <n v="0.33333333333333326"/>
    <n v="0.46666666666666667"/>
    <n v="0.8"/>
    <n v="0.66666666666666663"/>
    <s v="ENTJ"/>
    <x v="2"/>
    <x v="0"/>
  </r>
  <r>
    <s v="امیر محمد غیاثوند"/>
    <n v="8.1"/>
    <n v="0.33333333333333326"/>
    <n v="0.46666666666666667"/>
    <n v="0.53333333333333333"/>
    <n v="0.66666666666666663"/>
    <s v="ENTJ"/>
    <x v="2"/>
    <x v="0"/>
  </r>
  <r>
    <s v="ایلیا ابراهیمی"/>
    <n v="8.1"/>
    <n v="0.8"/>
    <n v="0.8"/>
    <n v="0.8"/>
    <n v="0.93333333333333335"/>
    <s v="ISTJ"/>
    <x v="2"/>
    <x v="0"/>
  </r>
  <r>
    <s v="ایلیا نوروز پور"/>
    <n v="8.1"/>
    <n v="0.93333333333333335"/>
    <n v="0.46666666666666667"/>
    <n v="0.26666666666666661"/>
    <n v="0.26666666666666661"/>
    <s v="INFP"/>
    <x v="2"/>
    <x v="0"/>
  </r>
  <r>
    <s v="رضا اسماعیل زاده"/>
    <n v="8.1"/>
    <n v="0.8"/>
    <n v="0.66666666666666663"/>
    <n v="0.8666666666666667"/>
    <n v="0.6"/>
    <s v="ISTJ"/>
    <x v="2"/>
    <x v="0"/>
  </r>
  <r>
    <s v="سالار علی پناه"/>
    <n v="8.1"/>
    <n v="0.6"/>
    <n v="0.4"/>
    <n v="0.8666666666666667"/>
    <n v="0.73333333333333328"/>
    <s v="INTJ"/>
    <x v="2"/>
    <x v="0"/>
  </r>
  <r>
    <s v="سامان قلیلی"/>
    <n v="8.1"/>
    <n v="0.8"/>
    <n v="0.53333333333333333"/>
    <n v="0.73333333333333328"/>
    <n v="0.26666666666666661"/>
    <s v="ISTP"/>
    <x v="2"/>
    <x v="0"/>
  </r>
  <r>
    <s v="سروش قمری"/>
    <n v="8.1"/>
    <n v="0.6"/>
    <n v="0.4"/>
    <n v="0.6"/>
    <n v="0.6"/>
    <s v="INTJ"/>
    <x v="2"/>
    <x v="0"/>
  </r>
  <r>
    <s v="سهیل افشاری"/>
    <n v="8.1"/>
    <n v="0.1333333333333333"/>
    <n v="0.53333333333333333"/>
    <n v="0.26666666666666661"/>
    <n v="0.6"/>
    <s v="ESFJ"/>
    <x v="2"/>
    <x v="0"/>
  </r>
  <r>
    <s v="علی اکبر باصری"/>
    <n v="8.1"/>
    <n v="0.93333333333333335"/>
    <n v="0.8"/>
    <n v="0.93333333333333335"/>
    <n v="0.6"/>
    <s v="ISTJ"/>
    <x v="2"/>
    <x v="0"/>
  </r>
  <r>
    <s v="علی بختیاری"/>
    <n v="8.1"/>
    <n v="0.33333333333333326"/>
    <n v="0.46666666666666667"/>
    <n v="6.6666666666666652E-2"/>
    <n v="0.33333333333333326"/>
    <s v="ENFP"/>
    <x v="2"/>
    <x v="0"/>
  </r>
  <r>
    <s v="محمد حسین حرآبادی"/>
    <n v="8.1"/>
    <n v="0.8666666666666667"/>
    <n v="0.33333333333333326"/>
    <n v="0.26666666666666661"/>
    <n v="0.26666666666666661"/>
    <s v="INFP"/>
    <x v="2"/>
    <x v="0"/>
  </r>
  <r>
    <s v="مهدی رحیمی"/>
    <n v="8.1"/>
    <n v="0.46666666666666667"/>
    <n v="0.46666666666666667"/>
    <n v="1"/>
    <n v="0.53333333333333333"/>
    <s v="ENTJ"/>
    <x v="2"/>
    <x v="0"/>
  </r>
  <r>
    <n v="7101"/>
    <n v="7.1"/>
    <n v="0.73333333333333328"/>
    <n v="0.53333333333333333"/>
    <n v="0.73333333333333328"/>
    <n v="0.73333333333333328"/>
    <s v="ISTJ"/>
    <x v="3"/>
    <x v="0"/>
  </r>
  <r>
    <n v="7102"/>
    <n v="7.1"/>
    <n v="0.53333333333333333"/>
    <n v="0.26666666666666661"/>
    <n v="0.8"/>
    <n v="0.6"/>
    <s v="INTJ"/>
    <x v="3"/>
    <x v="0"/>
  </r>
  <r>
    <n v="7103"/>
    <n v="7.1"/>
    <n v="0.73333333333333328"/>
    <n v="0.53333333333333333"/>
    <n v="0.66666666666666663"/>
    <n v="0.46666666666666667"/>
    <s v="ISTP"/>
    <x v="3"/>
    <x v="0"/>
  </r>
  <r>
    <n v="7104"/>
    <n v="7.1"/>
    <n v="0.73333333333333328"/>
    <n v="0.66666666666666663"/>
    <n v="0.6"/>
    <n v="0.46666666666666667"/>
    <s v="ISTP"/>
    <x v="3"/>
    <x v="0"/>
  </r>
  <r>
    <n v="7105"/>
    <n v="7.1"/>
    <n v="0.4"/>
    <n v="0.33333333333333326"/>
    <n v="0.93333333333333335"/>
    <n v="0.53333333333333333"/>
    <s v="ENTJ"/>
    <x v="3"/>
    <x v="0"/>
  </r>
  <r>
    <n v="7106"/>
    <n v="7.1"/>
    <n v="0.6"/>
    <n v="0.4"/>
    <n v="0.8666666666666667"/>
    <n v="0.8"/>
    <s v="INTJ"/>
    <x v="3"/>
    <x v="0"/>
  </r>
  <r>
    <n v="7107"/>
    <n v="7.1"/>
    <n v="0.6"/>
    <n v="0.53333333333333333"/>
    <n v="0.93333333333333335"/>
    <n v="0.66666666666666663"/>
    <s v="ISTJ"/>
    <x v="3"/>
    <x v="0"/>
  </r>
  <r>
    <n v="7108"/>
    <n v="7.1"/>
    <n v="0.46666666666666667"/>
    <n v="0.33333333333333326"/>
    <n v="0.66666666666666663"/>
    <n v="0.33333333333333326"/>
    <s v="ENTP"/>
    <x v="3"/>
    <x v="0"/>
  </r>
  <r>
    <n v="7109"/>
    <n v="7.1"/>
    <n v="0.8"/>
    <n v="0.46666666666666667"/>
    <n v="0.46666666666666667"/>
    <n v="0.4"/>
    <s v="INFP"/>
    <x v="3"/>
    <x v="0"/>
  </r>
  <r>
    <n v="7110"/>
    <n v="7.1"/>
    <n v="0.4"/>
    <n v="0.33333333333333326"/>
    <n v="0.53333333333333333"/>
    <n v="0.4"/>
    <s v="ENTP"/>
    <x v="3"/>
    <x v="0"/>
  </r>
  <r>
    <n v="7111"/>
    <n v="7.1"/>
    <n v="0.73333333333333328"/>
    <n v="0.53333333333333333"/>
    <n v="0.66666666666666663"/>
    <n v="0.53333333333333333"/>
    <s v="ISTJ"/>
    <x v="3"/>
    <x v="0"/>
  </r>
  <r>
    <n v="7112"/>
    <n v="7.1"/>
    <n v="0.66666666666666663"/>
    <n v="0.53333333333333333"/>
    <n v="0.66666666666666663"/>
    <n v="0.66666666666666663"/>
    <s v="ISTJ"/>
    <x v="3"/>
    <x v="0"/>
  </r>
  <r>
    <n v="7113"/>
    <n v="7.1"/>
    <n v="0.53333333333333333"/>
    <n v="0.6"/>
    <n v="0.73333333333333328"/>
    <n v="0.6"/>
    <s v="ISTJ"/>
    <x v="3"/>
    <x v="0"/>
  </r>
  <r>
    <n v="7114"/>
    <n v="7.1"/>
    <n v="0.8"/>
    <n v="0.4"/>
    <n v="0.6"/>
    <n v="0.46666666666666667"/>
    <s v="INTP"/>
    <x v="3"/>
    <x v="0"/>
  </r>
  <r>
    <n v="7115"/>
    <n v="7.1"/>
    <n v="0.6"/>
    <n v="0.4"/>
    <n v="0.4"/>
    <n v="0.8"/>
    <s v="INFJ"/>
    <x v="3"/>
    <x v="0"/>
  </r>
  <r>
    <n v="7116"/>
    <n v="7.1"/>
    <n v="0.53333333333333333"/>
    <n v="0.33333333333333326"/>
    <n v="0.6"/>
    <n v="0.26666666666666661"/>
    <s v="INTP"/>
    <x v="3"/>
    <x v="0"/>
  </r>
  <r>
    <n v="7117"/>
    <n v="7.1"/>
    <n v="0.66666666666666663"/>
    <n v="0.4"/>
    <n v="0.8"/>
    <n v="0.53333333333333333"/>
    <s v="INTJ"/>
    <x v="3"/>
    <x v="0"/>
  </r>
  <r>
    <n v="7118"/>
    <n v="7.1"/>
    <n v="0.6"/>
    <n v="0.6"/>
    <n v="0.93333333333333335"/>
    <n v="0.4"/>
    <s v="ISTP"/>
    <x v="3"/>
    <x v="0"/>
  </r>
  <r>
    <n v="7119"/>
    <n v="7.1"/>
    <n v="0.53333333333333333"/>
    <n v="0.66666666666666663"/>
    <n v="0.46666666666666667"/>
    <n v="0.66666666666666663"/>
    <s v="ISFJ"/>
    <x v="3"/>
    <x v="0"/>
  </r>
  <r>
    <n v="7120"/>
    <n v="7.1"/>
    <n v="0.53333333333333333"/>
    <n v="0.53333333333333333"/>
    <n v="0.66666666666666663"/>
    <n v="0.66666666666666663"/>
    <s v="ISTJ"/>
    <x v="3"/>
    <x v="0"/>
  </r>
  <r>
    <n v="7121"/>
    <n v="7.1"/>
    <n v="0.6"/>
    <n v="0.66666666666666663"/>
    <n v="0.8"/>
    <n v="0.4"/>
    <s v="ISTP"/>
    <x v="3"/>
    <x v="0"/>
  </r>
  <r>
    <n v="7122"/>
    <n v="7.1"/>
    <n v="0.73333333333333328"/>
    <n v="1"/>
    <n v="0.6"/>
    <n v="0.46666666666666667"/>
    <s v="ISTP"/>
    <x v="3"/>
    <x v="0"/>
  </r>
  <r>
    <n v="7123"/>
    <n v="7.1"/>
    <n v="0.73333333333333328"/>
    <n v="0.53333333333333333"/>
    <n v="0.53333333333333333"/>
    <n v="0.33333333333333326"/>
    <s v="ISTP"/>
    <x v="3"/>
    <x v="0"/>
  </r>
  <r>
    <n v="7124"/>
    <n v="7.1"/>
    <n v="0.6"/>
    <n v="0.53333333333333333"/>
    <n v="0.33333333333333326"/>
    <n v="0.8"/>
    <s v="ISFJ"/>
    <x v="3"/>
    <x v="0"/>
  </r>
  <r>
    <n v="7125"/>
    <n v="7.1"/>
    <n v="0.26666666666666661"/>
    <n v="0.46666666666666667"/>
    <n v="0.73333333333333328"/>
    <n v="0.46666666666666667"/>
    <s v="ENTP"/>
    <x v="3"/>
    <x v="0"/>
  </r>
  <r>
    <n v="7126"/>
    <n v="7.1"/>
    <n v="0.6"/>
    <n v="0.26666666666666661"/>
    <n v="0.6"/>
    <n v="0.46666666666666667"/>
    <s v="INTP"/>
    <x v="3"/>
    <x v="0"/>
  </r>
  <r>
    <n v="7127"/>
    <n v="7.1"/>
    <n v="0.6"/>
    <n v="0.46666666666666667"/>
    <n v="0.53333333333333333"/>
    <n v="0.53333333333333333"/>
    <s v="INTJ"/>
    <x v="3"/>
    <x v="0"/>
  </r>
  <r>
    <n v="7128"/>
    <n v="7.1"/>
    <n v="0.93333333333333335"/>
    <n v="0.4"/>
    <n v="0.66666666666666663"/>
    <n v="0.66666666666666663"/>
    <s v="INTJ"/>
    <x v="3"/>
    <x v="0"/>
  </r>
  <r>
    <n v="7129"/>
    <n v="7.1"/>
    <n v="0.8"/>
    <n v="0.8"/>
    <n v="0.8"/>
    <n v="0.4"/>
    <s v="ISTP"/>
    <x v="3"/>
    <x v="0"/>
  </r>
  <r>
    <n v="7130"/>
    <n v="7.1"/>
    <n v="0.53333333333333333"/>
    <n v="0.33333333333333326"/>
    <n v="0.8"/>
    <n v="0.66666666666666663"/>
    <s v="INTJ"/>
    <x v="3"/>
    <x v="0"/>
  </r>
  <r>
    <n v="7201"/>
    <n v="7.2"/>
    <n v="0.4"/>
    <n v="0.33333333333333326"/>
    <n v="0.8"/>
    <n v="0.6"/>
    <s v="ENTJ"/>
    <x v="3"/>
    <x v="1"/>
  </r>
  <r>
    <n v="7202"/>
    <n v="7.2"/>
    <n v="1"/>
    <n v="0.46666666666666667"/>
    <n v="0.66666666666666663"/>
    <n v="0.6"/>
    <s v="INTJ"/>
    <x v="3"/>
    <x v="1"/>
  </r>
  <r>
    <n v="7203"/>
    <n v="7.2"/>
    <n v="0.53333333333333333"/>
    <n v="0.46666666666666667"/>
    <n v="0.6"/>
    <n v="6.6666666666666652E-2"/>
    <s v="INTP"/>
    <x v="3"/>
    <x v="1"/>
  </r>
  <r>
    <n v="7204"/>
    <n v="7.2"/>
    <n v="0.8666666666666667"/>
    <n v="0.46666666666666667"/>
    <n v="0.8666666666666667"/>
    <n v="0.66666666666666663"/>
    <s v="INTJ"/>
    <x v="3"/>
    <x v="1"/>
  </r>
  <r>
    <n v="7205"/>
    <n v="7.2"/>
    <n v="0.73333333333333328"/>
    <n v="0.46666666666666667"/>
    <n v="0.4"/>
    <n v="0.4"/>
    <s v="INFP"/>
    <x v="3"/>
    <x v="1"/>
  </r>
  <r>
    <n v="7206"/>
    <n v="7.2"/>
    <n v="1"/>
    <n v="0.4"/>
    <n v="0.66666666666666663"/>
    <n v="0.1333333333333333"/>
    <s v="INTP"/>
    <x v="3"/>
    <x v="1"/>
  </r>
  <r>
    <n v="7207"/>
    <n v="7.2"/>
    <n v="0.6"/>
    <n v="0.26666666666666661"/>
    <n v="0.6"/>
    <n v="0.26666666666666661"/>
    <s v="INTP"/>
    <x v="3"/>
    <x v="1"/>
  </r>
  <r>
    <n v="7208"/>
    <n v="7.2"/>
    <n v="0.8"/>
    <n v="0.33333333333333326"/>
    <n v="0.66666666666666663"/>
    <n v="0.53333333333333333"/>
    <s v="INTJ"/>
    <x v="3"/>
    <x v="1"/>
  </r>
  <r>
    <n v="7209"/>
    <n v="7.2"/>
    <n v="0.8666666666666667"/>
    <n v="0.53333333333333333"/>
    <n v="0.66666666666666663"/>
    <n v="0.46666666666666667"/>
    <s v="ISTP"/>
    <x v="3"/>
    <x v="1"/>
  </r>
  <r>
    <n v="7210"/>
    <n v="7.2"/>
    <n v="0.6"/>
    <n v="0.4"/>
    <n v="0.73333333333333328"/>
    <n v="0.46666666666666667"/>
    <s v="INTP"/>
    <x v="3"/>
    <x v="1"/>
  </r>
  <r>
    <n v="7211"/>
    <n v="7.2"/>
    <n v="0.46666666666666667"/>
    <n v="0.73333333333333328"/>
    <n v="0.6"/>
    <n v="0.73333333333333328"/>
    <s v="ESTJ"/>
    <x v="3"/>
    <x v="1"/>
  </r>
  <r>
    <n v="7212"/>
    <n v="7.2"/>
    <n v="0.26666666666666661"/>
    <n v="0.4"/>
    <n v="0.8666666666666667"/>
    <n v="0.26666666666666661"/>
    <s v="ENTP"/>
    <x v="3"/>
    <x v="1"/>
  </r>
  <r>
    <n v="7213"/>
    <n v="7.2"/>
    <n v="0.6"/>
    <n v="0.73333333333333328"/>
    <n v="0.6"/>
    <n v="0.53333333333333333"/>
    <s v="ISTJ"/>
    <x v="3"/>
    <x v="1"/>
  </r>
  <r>
    <n v="7214"/>
    <n v="7.2"/>
    <n v="0.53333333333333333"/>
    <n v="0.33333333333333326"/>
    <n v="0.33333333333333326"/>
    <n v="0.66666666666666663"/>
    <s v="INFJ"/>
    <x v="3"/>
    <x v="1"/>
  </r>
  <r>
    <n v="7215"/>
    <n v="7.2"/>
    <n v="0.93333333333333335"/>
    <n v="0.6"/>
    <n v="0.6"/>
    <n v="0.4"/>
    <s v="ISTP"/>
    <x v="3"/>
    <x v="1"/>
  </r>
  <r>
    <n v="7216"/>
    <n v="7.2"/>
    <n v="0.53333333333333333"/>
    <n v="0.1333333333333333"/>
    <n v="0.8"/>
    <n v="0.53333333333333333"/>
    <s v="INTJ"/>
    <x v="3"/>
    <x v="1"/>
  </r>
  <r>
    <n v="7217"/>
    <n v="7.2"/>
    <n v="0.53333333333333333"/>
    <n v="0.46666666666666667"/>
    <n v="0.8"/>
    <n v="0.66666666666666663"/>
    <s v="INTJ"/>
    <x v="3"/>
    <x v="1"/>
  </r>
  <r>
    <n v="7218"/>
    <n v="7.2"/>
    <n v="0.66666666666666663"/>
    <n v="0.4"/>
    <n v="0.8"/>
    <n v="6.6666666666666652E-2"/>
    <s v="INTP"/>
    <x v="3"/>
    <x v="1"/>
  </r>
  <r>
    <n v="7219"/>
    <n v="7.2"/>
    <n v="0.8666666666666667"/>
    <n v="0.66666666666666663"/>
    <n v="0.66666666666666663"/>
    <n v="0.46666666666666667"/>
    <s v="ISTP"/>
    <x v="3"/>
    <x v="1"/>
  </r>
  <r>
    <n v="7220"/>
    <n v="7.2"/>
    <n v="0.93333333333333335"/>
    <n v="0.66666666666666663"/>
    <n v="0.66666666666666663"/>
    <n v="0.66666666666666663"/>
    <s v="ISTJ"/>
    <x v="3"/>
    <x v="1"/>
  </r>
  <r>
    <n v="7221"/>
    <n v="7.2"/>
    <n v="0.19999999999999996"/>
    <n v="0.53333333333333333"/>
    <n v="0.8"/>
    <n v="0.4"/>
    <s v="ESTP"/>
    <x v="3"/>
    <x v="1"/>
  </r>
  <r>
    <n v="7222"/>
    <n v="7.2"/>
    <n v="0.8"/>
    <n v="0.46666666666666667"/>
    <n v="1"/>
    <n v="0.33333333333333326"/>
    <s v="INTP"/>
    <x v="3"/>
    <x v="1"/>
  </r>
  <r>
    <n v="7223"/>
    <n v="7.2"/>
    <n v="0.53333333333333333"/>
    <n v="0.8"/>
    <n v="0.6"/>
    <n v="0.1333333333333333"/>
    <s v="ISTP"/>
    <x v="3"/>
    <x v="1"/>
  </r>
  <r>
    <n v="7224"/>
    <n v="7.2"/>
    <n v="0.46666666666666667"/>
    <n v="0.26666666666666661"/>
    <n v="0.73333333333333328"/>
    <n v="0.6"/>
    <s v="ENTJ"/>
    <x v="3"/>
    <x v="1"/>
  </r>
  <r>
    <n v="7225"/>
    <n v="7.2"/>
    <n v="0.93333333333333335"/>
    <n v="0.6"/>
    <n v="0.8666666666666667"/>
    <n v="0.53333333333333333"/>
    <s v="ISTJ"/>
    <x v="3"/>
    <x v="1"/>
  </r>
  <r>
    <n v="7226"/>
    <n v="7.2"/>
    <n v="0.8666666666666667"/>
    <n v="0.53333333333333333"/>
    <n v="0.93333333333333335"/>
    <n v="0.33333333333333326"/>
    <s v="ISTP"/>
    <x v="3"/>
    <x v="1"/>
  </r>
  <r>
    <n v="7227"/>
    <n v="7.2"/>
    <n v="0.8666666666666667"/>
    <n v="0.6"/>
    <n v="0.73333333333333328"/>
    <n v="0.4"/>
    <s v="ISTP"/>
    <x v="3"/>
    <x v="1"/>
  </r>
  <r>
    <n v="7228"/>
    <n v="7.2"/>
    <n v="1"/>
    <n v="0.66666666666666663"/>
    <n v="0.26666666666666661"/>
    <n v="0.73333333333333328"/>
    <s v="ISFJ"/>
    <x v="3"/>
    <x v="1"/>
  </r>
  <r>
    <n v="7229"/>
    <n v="7.2"/>
    <n v="0.33333333333333326"/>
    <n v="0.33333333333333326"/>
    <n v="0.73333333333333328"/>
    <n v="0.46666666666666667"/>
    <s v="ENTP"/>
    <x v="3"/>
    <x v="1"/>
  </r>
  <r>
    <n v="8101"/>
    <n v="8.1"/>
    <n v="0.73333333333333328"/>
    <n v="0.46666666666666667"/>
    <n v="0.73333333333333328"/>
    <n v="0.4"/>
    <s v="INTP"/>
    <x v="2"/>
    <x v="0"/>
  </r>
  <r>
    <n v="8102"/>
    <n v="8.1"/>
    <n v="0.46666666666666667"/>
    <n v="0.6"/>
    <n v="0.66666666666666663"/>
    <n v="0.66666666666666663"/>
    <s v="ESTJ"/>
    <x v="2"/>
    <x v="0"/>
  </r>
  <r>
    <n v="8103"/>
    <n v="8.1"/>
    <n v="0.6"/>
    <n v="0.46666666666666667"/>
    <n v="0.26666666666666661"/>
    <n v="0.66666666666666663"/>
    <s v="INFJ"/>
    <x v="2"/>
    <x v="0"/>
  </r>
  <r>
    <n v="8104"/>
    <n v="8.1"/>
    <n v="0.66666666666666663"/>
    <n v="0.53333333333333333"/>
    <n v="0.73333333333333328"/>
    <n v="0.66666666666666663"/>
    <s v="ISTJ"/>
    <x v="2"/>
    <x v="0"/>
  </r>
  <r>
    <n v="8105"/>
    <n v="8.1"/>
    <n v="0.8666666666666667"/>
    <n v="0.4"/>
    <n v="0.8"/>
    <n v="0.46666666666666667"/>
    <s v="INTP"/>
    <x v="2"/>
    <x v="0"/>
  </r>
  <r>
    <n v="8106"/>
    <n v="8.1"/>
    <n v="0.73333333333333328"/>
    <n v="0.73333333333333328"/>
    <n v="0.66666666666666663"/>
    <n v="0.33333333333333326"/>
    <s v="ISTP"/>
    <x v="2"/>
    <x v="0"/>
  </r>
  <r>
    <n v="8107"/>
    <n v="8.1"/>
    <n v="0.8"/>
    <n v="0.46666666666666667"/>
    <n v="1"/>
    <n v="0.53333333333333333"/>
    <s v="INTJ"/>
    <x v="2"/>
    <x v="0"/>
  </r>
  <r>
    <n v="8108"/>
    <n v="8.1"/>
    <n v="0.53333333333333333"/>
    <n v="0.73333333333333328"/>
    <n v="0.8"/>
    <n v="0.46666666666666667"/>
    <s v="ISTP"/>
    <x v="2"/>
    <x v="0"/>
  </r>
  <r>
    <n v="8109"/>
    <n v="8.1"/>
    <n v="0.66666666666666663"/>
    <n v="0.53333333333333333"/>
    <n v="0.6"/>
    <n v="0.46666666666666667"/>
    <s v="ISTP"/>
    <x v="2"/>
    <x v="0"/>
  </r>
  <r>
    <n v="8110"/>
    <n v="8.1"/>
    <n v="0.46666666666666667"/>
    <n v="0.4"/>
    <n v="0.8"/>
    <n v="0.73333333333333328"/>
    <s v="ENTJ"/>
    <x v="2"/>
    <x v="0"/>
  </r>
  <r>
    <n v="8111"/>
    <n v="8.1"/>
    <n v="0.6"/>
    <n v="0.66666666666666663"/>
    <n v="0.93333333333333335"/>
    <n v="0.4"/>
    <s v="ISTP"/>
    <x v="2"/>
    <x v="0"/>
  </r>
  <r>
    <n v="8112"/>
    <n v="8.1"/>
    <n v="0.73333333333333328"/>
    <n v="0.6"/>
    <n v="0.73333333333333328"/>
    <n v="0.53333333333333333"/>
    <s v="ISTJ"/>
    <x v="2"/>
    <x v="0"/>
  </r>
  <r>
    <n v="8113"/>
    <n v="8.1"/>
    <n v="0.66666666666666663"/>
    <n v="0.33333333333333326"/>
    <n v="0.73333333333333328"/>
    <n v="0.73333333333333328"/>
    <s v="INTJ"/>
    <x v="2"/>
    <x v="0"/>
  </r>
  <r>
    <n v="8114"/>
    <n v="8.1"/>
    <n v="0.46666666666666667"/>
    <n v="0.46666666666666667"/>
    <n v="0.8"/>
    <n v="0.53333333333333333"/>
    <s v="ENTJ"/>
    <x v="2"/>
    <x v="0"/>
  </r>
  <r>
    <n v="8115"/>
    <n v="8.1"/>
    <n v="0.8666666666666667"/>
    <n v="0.33333333333333326"/>
    <n v="0.46666666666666667"/>
    <n v="0.46666666666666667"/>
    <s v="INFP"/>
    <x v="2"/>
    <x v="0"/>
  </r>
  <r>
    <n v="8116"/>
    <n v="8.1"/>
    <n v="0.53333333333333333"/>
    <n v="0.46666666666666667"/>
    <n v="0.8"/>
    <n v="0.6"/>
    <s v="INTJ"/>
    <x v="2"/>
    <x v="0"/>
  </r>
  <r>
    <n v="8117"/>
    <n v="8.1"/>
    <n v="0.8"/>
    <n v="0.33333333333333326"/>
    <n v="0.93333333333333335"/>
    <n v="0.26666666666666661"/>
    <s v="INTP"/>
    <x v="2"/>
    <x v="0"/>
  </r>
  <r>
    <n v="8118"/>
    <n v="8.1"/>
    <n v="0.66666666666666663"/>
    <n v="0.6"/>
    <n v="0.93333333333333335"/>
    <n v="0.66666666666666663"/>
    <s v="ISTJ"/>
    <x v="2"/>
    <x v="0"/>
  </r>
  <r>
    <n v="8119"/>
    <n v="8.1"/>
    <n v="0.73333333333333328"/>
    <n v="0.4"/>
    <n v="0.66666666666666663"/>
    <n v="0.46666666666666667"/>
    <s v="INTP"/>
    <x v="2"/>
    <x v="0"/>
  </r>
  <r>
    <n v="8120"/>
    <n v="8.1"/>
    <n v="0.8666666666666667"/>
    <n v="0.4"/>
    <n v="1"/>
    <n v="0.46666666666666667"/>
    <s v="INTP"/>
    <x v="2"/>
    <x v="0"/>
  </r>
  <r>
    <n v="8121"/>
    <n v="8.1"/>
    <n v="0.66666666666666663"/>
    <n v="0.46666666666666667"/>
    <n v="0.73333333333333328"/>
    <n v="0.4"/>
    <s v="INTP"/>
    <x v="2"/>
    <x v="0"/>
  </r>
  <r>
    <n v="8122"/>
    <n v="8.1"/>
    <n v="0.8666666666666667"/>
    <n v="0.4"/>
    <n v="0.8666666666666667"/>
    <n v="0.33333333333333326"/>
    <s v="INTP"/>
    <x v="2"/>
    <x v="0"/>
  </r>
  <r>
    <n v="8123"/>
    <n v="8.1"/>
    <n v="0.6"/>
    <n v="0.73333333333333328"/>
    <n v="0.93333333333333335"/>
    <n v="0.73333333333333328"/>
    <s v="ISTJ"/>
    <x v="2"/>
    <x v="0"/>
  </r>
  <r>
    <n v="8124"/>
    <n v="8.1"/>
    <n v="0.66666666666666663"/>
    <n v="0.4"/>
    <n v="0.8"/>
    <n v="0.4"/>
    <s v="INTP"/>
    <x v="2"/>
    <x v="0"/>
  </r>
  <r>
    <n v="8125"/>
    <n v="8.1"/>
    <n v="0.53333333333333333"/>
    <n v="0.73333333333333328"/>
    <n v="0.73333333333333328"/>
    <n v="0.53333333333333333"/>
    <s v="ISTJ"/>
    <x v="2"/>
    <x v="0"/>
  </r>
  <r>
    <n v="8126"/>
    <n v="8.1"/>
    <n v="0.66666666666666663"/>
    <n v="0.6"/>
    <n v="0.93333333333333335"/>
    <n v="0.26666666666666661"/>
    <s v="ISTP"/>
    <x v="2"/>
    <x v="0"/>
  </r>
  <r>
    <n v="8127"/>
    <n v="8.1"/>
    <n v="0.6"/>
    <n v="0.73333333333333328"/>
    <n v="0.4"/>
    <n v="0.73333333333333328"/>
    <s v="ISFJ"/>
    <x v="2"/>
    <x v="0"/>
  </r>
  <r>
    <n v="8128"/>
    <n v="8.1"/>
    <n v="0.26666666666666661"/>
    <n v="0.4"/>
    <n v="1"/>
    <n v="0.8"/>
    <s v="ENTJ"/>
    <x v="2"/>
    <x v="0"/>
  </r>
  <r>
    <n v="8129"/>
    <n v="8.1"/>
    <n v="0.8"/>
    <n v="0.8"/>
    <n v="0.73333333333333328"/>
    <n v="0.6"/>
    <s v="ISTJ"/>
    <x v="2"/>
    <x v="0"/>
  </r>
  <r>
    <n v="8130"/>
    <n v="8.1"/>
    <n v="0.4"/>
    <n v="0.6"/>
    <n v="0.66666666666666663"/>
    <n v="0.73333333333333328"/>
    <s v="ESTJ"/>
    <x v="2"/>
    <x v="0"/>
  </r>
  <r>
    <n v="8131"/>
    <n v="8.1"/>
    <n v="0.46666666666666667"/>
    <n v="0.46666666666666667"/>
    <n v="0.6"/>
    <n v="0.46666666666666667"/>
    <s v="ENTP"/>
    <x v="2"/>
    <x v="0"/>
  </r>
  <r>
    <n v="8132"/>
    <n v="8.1"/>
    <n v="0.6"/>
    <n v="0.46666666666666667"/>
    <n v="0.8666666666666667"/>
    <n v="0.46666666666666667"/>
    <s v="INTP"/>
    <x v="2"/>
    <x v="0"/>
  </r>
  <r>
    <n v="8133"/>
    <n v="8.1"/>
    <n v="0.6"/>
    <n v="0.26666666666666661"/>
    <n v="0.66666666666666663"/>
    <n v="0.4"/>
    <s v="INTP"/>
    <x v="2"/>
    <x v="0"/>
  </r>
  <r>
    <n v="8134"/>
    <n v="8.1"/>
    <n v="0.8"/>
    <n v="0.6"/>
    <n v="0.66666666666666663"/>
    <n v="0.6"/>
    <s v="ISTJ"/>
    <x v="2"/>
    <x v="0"/>
  </r>
  <r>
    <n v="8201"/>
    <n v="8.1999999999999993"/>
    <n v="0.53333333333333333"/>
    <n v="0.33333333333333326"/>
    <n v="0.6"/>
    <n v="0.73333333333333328"/>
    <s v="INTJ"/>
    <x v="2"/>
    <x v="1"/>
  </r>
  <r>
    <n v="8202"/>
    <n v="8.1999999999999993"/>
    <n v="0.46666666666666667"/>
    <n v="0.6"/>
    <n v="0.8666666666666667"/>
    <n v="0.66666666666666663"/>
    <s v="ESTJ"/>
    <x v="2"/>
    <x v="1"/>
  </r>
  <r>
    <n v="8203"/>
    <n v="8.1999999999999993"/>
    <n v="0.8666666666666667"/>
    <n v="0.4"/>
    <n v="0.93333333333333335"/>
    <n v="0.33333333333333326"/>
    <s v="INTP"/>
    <x v="2"/>
    <x v="1"/>
  </r>
  <r>
    <n v="8204"/>
    <n v="8.1999999999999993"/>
    <n v="0.53333333333333333"/>
    <n v="0.73333333333333328"/>
    <n v="0.8666666666666667"/>
    <n v="0.53333333333333333"/>
    <s v="ISTJ"/>
    <x v="2"/>
    <x v="1"/>
  </r>
  <r>
    <n v="8205"/>
    <n v="8.1999999999999993"/>
    <n v="0.33333333333333326"/>
    <n v="0.6"/>
    <n v="0.6"/>
    <n v="0.33333333333333326"/>
    <s v="ESTP"/>
    <x v="2"/>
    <x v="1"/>
  </r>
  <r>
    <n v="8206"/>
    <n v="8.1999999999999993"/>
    <n v="0.46666666666666667"/>
    <n v="0.53333333333333333"/>
    <n v="0.26666666666666661"/>
    <n v="0.6"/>
    <s v="ESFJ"/>
    <x v="2"/>
    <x v="1"/>
  </r>
  <r>
    <n v="8207"/>
    <n v="8.1999999999999993"/>
    <n v="0.6"/>
    <n v="0.33333333333333326"/>
    <n v="0.93333333333333335"/>
    <n v="0.66666666666666663"/>
    <s v="INTJ"/>
    <x v="2"/>
    <x v="1"/>
  </r>
  <r>
    <n v="8208"/>
    <n v="8.1999999999999993"/>
    <n v="0.46666666666666667"/>
    <n v="0.33333333333333326"/>
    <n v="0.8666666666666667"/>
    <n v="0.19999999999999996"/>
    <s v="ENTP"/>
    <x v="2"/>
    <x v="1"/>
  </r>
  <r>
    <n v="8209"/>
    <n v="8.1999999999999993"/>
    <n v="0.53333333333333333"/>
    <n v="0.33333333333333326"/>
    <n v="0.73333333333333328"/>
    <n v="0.53333333333333333"/>
    <s v="INTJ"/>
    <x v="2"/>
    <x v="1"/>
  </r>
  <r>
    <n v="8210"/>
    <n v="8.1999999999999993"/>
    <n v="0.6"/>
    <n v="0.73333333333333328"/>
    <n v="0.73333333333333328"/>
    <n v="0.46666666666666667"/>
    <s v="ISTP"/>
    <x v="2"/>
    <x v="1"/>
  </r>
  <r>
    <n v="8211"/>
    <n v="8.1999999999999993"/>
    <n v="0.33333333333333326"/>
    <n v="0.66666666666666663"/>
    <n v="0.8"/>
    <n v="0.8"/>
    <s v="ESTJ"/>
    <x v="2"/>
    <x v="1"/>
  </r>
  <r>
    <n v="8212"/>
    <n v="8.1999999999999993"/>
    <n v="0.46666666666666667"/>
    <n v="0.46666666666666667"/>
    <n v="0.66666666666666663"/>
    <n v="0.46666666666666667"/>
    <s v="ENTP"/>
    <x v="2"/>
    <x v="1"/>
  </r>
  <r>
    <n v="8213"/>
    <n v="8.1999999999999993"/>
    <n v="0.6"/>
    <n v="0.1333333333333333"/>
    <n v="0.8666666666666667"/>
    <n v="0.66666666666666663"/>
    <s v="INTJ"/>
    <x v="2"/>
    <x v="1"/>
  </r>
  <r>
    <n v="8214"/>
    <n v="8.1999999999999993"/>
    <n v="0.8666666666666667"/>
    <n v="0.93333333333333335"/>
    <n v="0.66666666666666663"/>
    <n v="0.46666666666666667"/>
    <s v="ISTP"/>
    <x v="2"/>
    <x v="1"/>
  </r>
  <r>
    <n v="8215"/>
    <n v="8.1999999999999993"/>
    <n v="0.6"/>
    <n v="0.8666666666666667"/>
    <n v="0.33333333333333326"/>
    <n v="0.6"/>
    <s v="ISFJ"/>
    <x v="2"/>
    <x v="1"/>
  </r>
  <r>
    <n v="8216"/>
    <n v="8.1999999999999993"/>
    <n v="0.26666666666666661"/>
    <n v="0"/>
    <n v="0.26666666666666661"/>
    <n v="0.19999999999999996"/>
    <s v="ENFP"/>
    <x v="2"/>
    <x v="1"/>
  </r>
  <r>
    <n v="8217"/>
    <n v="8.1999999999999993"/>
    <n v="0.8"/>
    <n v="0.33333333333333326"/>
    <n v="0.66666666666666663"/>
    <n v="0.26666666666666661"/>
    <s v="INTP"/>
    <x v="2"/>
    <x v="1"/>
  </r>
  <r>
    <n v="8218"/>
    <n v="8.1999999999999993"/>
    <n v="0.73333333333333328"/>
    <n v="0.26666666666666661"/>
    <n v="1"/>
    <n v="0.26666666666666661"/>
    <s v="INTP"/>
    <x v="2"/>
    <x v="1"/>
  </r>
  <r>
    <n v="8219"/>
    <n v="8.1999999999999993"/>
    <n v="0.4"/>
    <n v="0.53333333333333333"/>
    <n v="0.73333333333333328"/>
    <n v="0.8"/>
    <s v="ESTJ"/>
    <x v="2"/>
    <x v="1"/>
  </r>
  <r>
    <n v="8220"/>
    <n v="8.1999999999999993"/>
    <n v="0.6"/>
    <n v="0.19999999999999996"/>
    <n v="0.6"/>
    <n v="0.4"/>
    <s v="INTP"/>
    <x v="2"/>
    <x v="1"/>
  </r>
  <r>
    <n v="8221"/>
    <n v="8.1999999999999993"/>
    <n v="0.73333333333333328"/>
    <n v="0.6"/>
    <n v="0.66666666666666663"/>
    <n v="0.66666666666666663"/>
    <s v="ISTJ"/>
    <x v="2"/>
    <x v="1"/>
  </r>
  <r>
    <n v="8222"/>
    <n v="8.1999999999999993"/>
    <n v="0.46666666666666667"/>
    <n v="0.46666666666666667"/>
    <n v="0.73333333333333328"/>
    <n v="0.8"/>
    <s v="ENTJ"/>
    <x v="2"/>
    <x v="1"/>
  </r>
  <r>
    <n v="8223"/>
    <n v="8.1999999999999993"/>
    <n v="0.6"/>
    <n v="0.4"/>
    <n v="0.46666666666666667"/>
    <n v="0.66666666666666663"/>
    <s v="INFJ"/>
    <x v="2"/>
    <x v="1"/>
  </r>
  <r>
    <n v="8224"/>
    <n v="8.1999999999999993"/>
    <n v="0.46666666666666667"/>
    <n v="0.53333333333333333"/>
    <n v="0.26666666666666661"/>
    <n v="0.73333333333333328"/>
    <s v="ESFJ"/>
    <x v="2"/>
    <x v="1"/>
  </r>
  <r>
    <n v="8225"/>
    <n v="8.1999999999999993"/>
    <n v="0.33333333333333326"/>
    <n v="0.33333333333333326"/>
    <n v="0.93333333333333335"/>
    <n v="0.19999999999999996"/>
    <s v="ENTP"/>
    <x v="2"/>
    <x v="1"/>
  </r>
  <r>
    <n v="8226"/>
    <n v="8.1999999999999993"/>
    <n v="0.6"/>
    <n v="0.53333333333333333"/>
    <n v="0.46666666666666667"/>
    <n v="0.8"/>
    <s v="ISFJ"/>
    <x v="2"/>
    <x v="1"/>
  </r>
  <r>
    <n v="8227"/>
    <n v="8.1999999999999993"/>
    <n v="0.93333333333333335"/>
    <n v="6.6666666666666652E-2"/>
    <n v="0.4"/>
    <n v="0.66666666666666663"/>
    <s v="INFJ"/>
    <x v="2"/>
    <x v="1"/>
  </r>
  <r>
    <n v="8228"/>
    <n v="8.1999999999999993"/>
    <n v="0.33333333333333326"/>
    <n v="0.4"/>
    <n v="0.73333333333333328"/>
    <n v="0.66666666666666663"/>
    <s v="ENTJ"/>
    <x v="2"/>
    <x v="1"/>
  </r>
  <r>
    <n v="8229"/>
    <n v="8.1999999999999993"/>
    <n v="0.53333333333333333"/>
    <n v="0.53333333333333333"/>
    <n v="0.53333333333333333"/>
    <n v="0.8"/>
    <s v="ISTJ"/>
    <x v="2"/>
    <x v="1"/>
  </r>
  <r>
    <n v="8230"/>
    <n v="8.1999999999999993"/>
    <n v="0.46666666666666667"/>
    <n v="0.53333333333333333"/>
    <n v="0.6"/>
    <n v="0.53333333333333333"/>
    <s v="ESTJ"/>
    <x v="2"/>
    <x v="1"/>
  </r>
  <r>
    <n v="9101"/>
    <n v="9.1"/>
    <n v="0.8"/>
    <n v="0.4"/>
    <n v="0.73333333333333328"/>
    <n v="0.46666666666666667"/>
    <s v="INTP"/>
    <x v="1"/>
    <x v="0"/>
  </r>
  <r>
    <n v="9102"/>
    <n v="9.1"/>
    <n v="0.33333333333333326"/>
    <n v="0.66666666666666663"/>
    <n v="0.8"/>
    <n v="0.6"/>
    <s v="ESTJ"/>
    <x v="1"/>
    <x v="0"/>
  </r>
  <r>
    <n v="9103"/>
    <n v="9.1"/>
    <n v="0.53333333333333333"/>
    <n v="0.66666666666666663"/>
    <n v="0.6"/>
    <n v="0.8"/>
    <s v="ISTJ"/>
    <x v="1"/>
    <x v="0"/>
  </r>
  <r>
    <n v="9104"/>
    <n v="9.1"/>
    <n v="0.53333333333333333"/>
    <n v="0.8666666666666667"/>
    <n v="0.53333333333333333"/>
    <n v="0.66666666666666663"/>
    <s v="ISTJ"/>
    <x v="1"/>
    <x v="0"/>
  </r>
  <r>
    <n v="9105"/>
    <n v="9.1"/>
    <n v="0.4"/>
    <n v="0.53333333333333333"/>
    <n v="1"/>
    <n v="0.66666666666666663"/>
    <s v="ESTJ"/>
    <x v="1"/>
    <x v="0"/>
  </r>
  <r>
    <n v="9106"/>
    <n v="9.1"/>
    <n v="0.6"/>
    <n v="0.6"/>
    <n v="0.8"/>
    <n v="0.53333333333333333"/>
    <s v="ISTJ"/>
    <x v="1"/>
    <x v="0"/>
  </r>
  <r>
    <n v="9107"/>
    <n v="9.1"/>
    <n v="0.73333333333333328"/>
    <n v="0.53333333333333333"/>
    <n v="0.8666666666666667"/>
    <n v="0.33333333333333326"/>
    <s v="ISTP"/>
    <x v="1"/>
    <x v="0"/>
  </r>
  <r>
    <n v="9108"/>
    <n v="9.1"/>
    <n v="0.6"/>
    <n v="0.66666666666666663"/>
    <n v="1"/>
    <n v="0.73333333333333328"/>
    <s v="ISTJ"/>
    <x v="1"/>
    <x v="0"/>
  </r>
  <r>
    <n v="9109"/>
    <n v="9.1"/>
    <n v="0.53333333333333333"/>
    <n v="0.53333333333333333"/>
    <n v="0.6"/>
    <n v="0.66666666666666663"/>
    <s v="ISTJ"/>
    <x v="1"/>
    <x v="0"/>
  </r>
  <r>
    <n v="9110"/>
    <n v="9.1"/>
    <n v="0.8"/>
    <n v="0.46666666666666667"/>
    <n v="0.8"/>
    <n v="0.46666666666666667"/>
    <s v="INTP"/>
    <x v="1"/>
    <x v="0"/>
  </r>
  <r>
    <n v="9111"/>
    <n v="9.1"/>
    <n v="0.53333333333333333"/>
    <n v="0.66666666666666663"/>
    <n v="0.93333333333333335"/>
    <n v="0.46666666666666667"/>
    <s v="ISTP"/>
    <x v="1"/>
    <x v="0"/>
  </r>
  <r>
    <n v="9112"/>
    <n v="9.1"/>
    <n v="0.73333333333333328"/>
    <n v="0.46666666666666667"/>
    <n v="0.8666666666666667"/>
    <n v="0.46666666666666667"/>
    <s v="INTP"/>
    <x v="1"/>
    <x v="0"/>
  </r>
  <r>
    <n v="9113"/>
    <n v="9.1"/>
    <n v="0.4"/>
    <n v="0.4"/>
    <n v="0.8"/>
    <n v="0.73333333333333328"/>
    <s v="ENTJ"/>
    <x v="1"/>
    <x v="0"/>
  </r>
  <r>
    <n v="9114"/>
    <n v="9.1"/>
    <n v="0.53333333333333333"/>
    <n v="0.73333333333333328"/>
    <n v="0.8666666666666667"/>
    <n v="0.26666666666666661"/>
    <s v="ISTP"/>
    <x v="1"/>
    <x v="0"/>
  </r>
  <r>
    <n v="9115"/>
    <n v="9.1"/>
    <n v="0.6"/>
    <n v="0.46666666666666667"/>
    <n v="0.53333333333333333"/>
    <n v="0.46666666666666667"/>
    <s v="INTP"/>
    <x v="1"/>
    <x v="0"/>
  </r>
  <r>
    <n v="9116"/>
    <n v="9.1"/>
    <n v="0.8"/>
    <n v="0.6"/>
    <n v="0.93333333333333335"/>
    <n v="0.53333333333333333"/>
    <s v="ISTJ"/>
    <x v="1"/>
    <x v="0"/>
  </r>
  <r>
    <n v="9117"/>
    <n v="9.1"/>
    <n v="0.46666666666666667"/>
    <n v="0.53333333333333333"/>
    <n v="0.6"/>
    <n v="0.73333333333333328"/>
    <s v="ESTJ"/>
    <x v="1"/>
    <x v="0"/>
  </r>
  <r>
    <n v="9118"/>
    <n v="9.1"/>
    <n v="0.53333333333333333"/>
    <n v="0.53333333333333333"/>
    <n v="0.8666666666666667"/>
    <n v="0.66666666666666663"/>
    <s v="ISTJ"/>
    <x v="1"/>
    <x v="0"/>
  </r>
  <r>
    <n v="9119"/>
    <n v="9.1"/>
    <n v="0.53333333333333333"/>
    <n v="0.33333333333333326"/>
    <n v="1"/>
    <n v="0.4"/>
    <s v="INTP"/>
    <x v="1"/>
    <x v="0"/>
  </r>
  <r>
    <n v="9120"/>
    <n v="9.1"/>
    <n v="0.33333333333333326"/>
    <n v="0.6"/>
    <n v="0.66666666666666663"/>
    <n v="0.46666666666666667"/>
    <s v="ESTP"/>
    <x v="1"/>
    <x v="0"/>
  </r>
  <r>
    <n v="9121"/>
    <n v="9.1"/>
    <n v="0.6"/>
    <n v="0.8666666666666667"/>
    <n v="0.73333333333333328"/>
    <n v="0.66666666666666663"/>
    <s v="ISTJ"/>
    <x v="1"/>
    <x v="0"/>
  </r>
  <r>
    <n v="9122"/>
    <n v="9.1"/>
    <n v="0.6"/>
    <n v="0.33333333333333326"/>
    <n v="0.66666666666666663"/>
    <n v="0.4"/>
    <s v="INTP"/>
    <x v="1"/>
    <x v="0"/>
  </r>
  <r>
    <n v="9123"/>
    <n v="9.1"/>
    <n v="0.46666666666666667"/>
    <n v="0.53333333333333333"/>
    <n v="0.6"/>
    <n v="0.53333333333333333"/>
    <s v="ESTJ"/>
    <x v="1"/>
    <x v="0"/>
  </r>
  <r>
    <n v="9124"/>
    <n v="9.1"/>
    <n v="0.6"/>
    <n v="0.6"/>
    <n v="0.53333333333333333"/>
    <n v="0.33333333333333326"/>
    <s v="ISTP"/>
    <x v="1"/>
    <x v="0"/>
  </r>
  <r>
    <n v="9125"/>
    <n v="9.1"/>
    <n v="0.46666666666666667"/>
    <n v="0.46666666666666667"/>
    <n v="0.8"/>
    <n v="0.6"/>
    <s v="ENTJ"/>
    <x v="1"/>
    <x v="0"/>
  </r>
  <r>
    <n v="9126"/>
    <n v="9.1"/>
    <n v="0.46666666666666667"/>
    <n v="0.6"/>
    <n v="0.8"/>
    <n v="0.66666666666666663"/>
    <s v="ESTJ"/>
    <x v="1"/>
    <x v="0"/>
  </r>
  <r>
    <n v="9127"/>
    <n v="9.1"/>
    <n v="0.6"/>
    <n v="0.33333333333333326"/>
    <n v="0.8666666666666667"/>
    <n v="0.53333333333333333"/>
    <s v="INTJ"/>
    <x v="1"/>
    <x v="0"/>
  </r>
  <r>
    <n v="9128"/>
    <n v="9.1"/>
    <n v="0.53333333333333333"/>
    <n v="0.6"/>
    <n v="0.66666666666666663"/>
    <n v="0.4"/>
    <s v="ISTP"/>
    <x v="1"/>
    <x v="0"/>
  </r>
  <r>
    <n v="9129"/>
    <n v="9.1"/>
    <n v="0.46666666666666667"/>
    <n v="0.46666666666666667"/>
    <n v="0.93333333333333335"/>
    <n v="0.53333333333333333"/>
    <s v="ENTJ"/>
    <x v="1"/>
    <x v="0"/>
  </r>
  <r>
    <n v="9201"/>
    <n v="9.1999999999999993"/>
    <n v="0.53333333333333333"/>
    <n v="0.33333333333333326"/>
    <n v="0.73333333333333328"/>
    <n v="0.6"/>
    <s v="INTJ"/>
    <x v="1"/>
    <x v="1"/>
  </r>
  <r>
    <n v="9202"/>
    <n v="9.1999999999999993"/>
    <n v="0.66666666666666663"/>
    <n v="0.6"/>
    <n v="0.4"/>
    <n v="0.4"/>
    <s v="ISFP"/>
    <x v="1"/>
    <x v="1"/>
  </r>
  <r>
    <n v="9203"/>
    <n v="9.1999999999999993"/>
    <n v="0.66666666666666663"/>
    <n v="0.6"/>
    <n v="0.4"/>
    <n v="0.53333333333333333"/>
    <s v="ISFJ"/>
    <x v="1"/>
    <x v="1"/>
  </r>
  <r>
    <n v="9204"/>
    <n v="9.1999999999999993"/>
    <n v="0.8666666666666667"/>
    <n v="0.46666666666666667"/>
    <n v="0.73333333333333328"/>
    <n v="0.6"/>
    <s v="INTJ"/>
    <x v="1"/>
    <x v="1"/>
  </r>
  <r>
    <n v="9205"/>
    <n v="9.1999999999999993"/>
    <n v="0.66666666666666663"/>
    <n v="0.66666666666666663"/>
    <n v="0.73333333333333328"/>
    <n v="0.53333333333333333"/>
    <s v="ISTJ"/>
    <x v="1"/>
    <x v="1"/>
  </r>
  <r>
    <n v="9206"/>
    <n v="9.1999999999999993"/>
    <n v="0.4"/>
    <n v="0.46666666666666667"/>
    <n v="1"/>
    <n v="0.46666666666666667"/>
    <s v="ENTP"/>
    <x v="1"/>
    <x v="1"/>
  </r>
  <r>
    <n v="9207"/>
    <n v="9.1999999999999993"/>
    <n v="0.53333333333333333"/>
    <n v="0.4"/>
    <n v="0.93333333333333335"/>
    <n v="0.33333333333333326"/>
    <s v="INTP"/>
    <x v="1"/>
    <x v="1"/>
  </r>
  <r>
    <n v="9208"/>
    <n v="9.1999999999999993"/>
    <n v="0.8"/>
    <n v="0.26666666666666661"/>
    <n v="0.53333333333333333"/>
    <n v="0.53333333333333333"/>
    <s v="INTJ"/>
    <x v="1"/>
    <x v="1"/>
  </r>
  <r>
    <n v="9209"/>
    <n v="9.1999999999999993"/>
    <n v="0.6"/>
    <n v="0.53333333333333333"/>
    <n v="0.93333333333333335"/>
    <n v="0.4"/>
    <s v="ISTP"/>
    <x v="1"/>
    <x v="1"/>
  </r>
  <r>
    <n v="9210"/>
    <n v="9.1999999999999993"/>
    <n v="0.66666666666666663"/>
    <n v="0.33333333333333326"/>
    <n v="1"/>
    <n v="0.66666666666666663"/>
    <s v="INTJ"/>
    <x v="1"/>
    <x v="1"/>
  </r>
  <r>
    <n v="9211"/>
    <n v="9.1999999999999993"/>
    <n v="0.73333333333333328"/>
    <n v="0.53333333333333333"/>
    <n v="0.6"/>
    <n v="0.46666666666666667"/>
    <s v="ISTP"/>
    <x v="1"/>
    <x v="1"/>
  </r>
  <r>
    <n v="9212"/>
    <n v="9.1999999999999993"/>
    <n v="0.73333333333333328"/>
    <n v="0.46666666666666667"/>
    <n v="0.73333333333333328"/>
    <n v="0.19999999999999996"/>
    <s v="INTP"/>
    <x v="1"/>
    <x v="1"/>
  </r>
  <r>
    <n v="9213"/>
    <n v="9.1999999999999993"/>
    <n v="0.66666666666666663"/>
    <n v="0.33333333333333326"/>
    <n v="0.53333333333333333"/>
    <n v="0.46666666666666667"/>
    <s v="INTP"/>
    <x v="1"/>
    <x v="1"/>
  </r>
  <r>
    <n v="9214"/>
    <n v="9.1999999999999993"/>
    <n v="0.19999999999999996"/>
    <n v="0.66666666666666663"/>
    <n v="0.93333333333333335"/>
    <n v="0.46666666666666667"/>
    <s v="ESTP"/>
    <x v="1"/>
    <x v="1"/>
  </r>
  <r>
    <n v="9215"/>
    <n v="9.1999999999999993"/>
    <n v="0.4"/>
    <n v="0.26666666666666661"/>
    <n v="0.73333333333333328"/>
    <n v="0"/>
    <s v="ENTP"/>
    <x v="1"/>
    <x v="1"/>
  </r>
  <r>
    <n v="9216"/>
    <n v="9.1999999999999993"/>
    <n v="0.66666666666666663"/>
    <n v="0.66666666666666663"/>
    <n v="0.66666666666666663"/>
    <n v="0.4"/>
    <s v="ISTP"/>
    <x v="1"/>
    <x v="1"/>
  </r>
  <r>
    <n v="9217"/>
    <n v="9.1999999999999993"/>
    <n v="0.66666666666666663"/>
    <n v="0.6"/>
    <n v="1"/>
    <n v="0.53333333333333333"/>
    <s v="ISTJ"/>
    <x v="1"/>
    <x v="1"/>
  </r>
  <r>
    <n v="9218"/>
    <n v="9.1999999999999993"/>
    <n v="0.46666666666666667"/>
    <n v="0.4"/>
    <n v="0.8"/>
    <n v="0.8666666666666667"/>
    <s v="ENTJ"/>
    <x v="1"/>
    <x v="1"/>
  </r>
  <r>
    <n v="9219"/>
    <n v="9.1999999999999993"/>
    <n v="0.53333333333333333"/>
    <n v="0.26666666666666661"/>
    <n v="0.53333333333333333"/>
    <n v="6.6666666666666652E-2"/>
    <s v="INTP"/>
    <x v="1"/>
    <x v="1"/>
  </r>
  <r>
    <n v="9220"/>
    <n v="9.1999999999999993"/>
    <n v="0.66666666666666663"/>
    <n v="0.19999999999999996"/>
    <n v="0.46666666666666667"/>
    <n v="6.6666666666666652E-2"/>
    <s v="INFP"/>
    <x v="1"/>
    <x v="1"/>
  </r>
  <r>
    <n v="9221"/>
    <n v="9.1999999999999993"/>
    <n v="0.33333333333333326"/>
    <n v="0.6"/>
    <n v="0.46666666666666667"/>
    <n v="0.1333333333333333"/>
    <s v="ESFP"/>
    <x v="1"/>
    <x v="1"/>
  </r>
  <r>
    <n v="9222"/>
    <n v="9.1999999999999993"/>
    <n v="0.66666666666666663"/>
    <n v="0.4"/>
    <n v="0.8"/>
    <n v="0.66666666666666663"/>
    <s v="INTJ"/>
    <x v="1"/>
    <x v="1"/>
  </r>
  <r>
    <n v="9223"/>
    <n v="9.1999999999999993"/>
    <n v="0.6"/>
    <n v="0.19999999999999996"/>
    <n v="0.73333333333333328"/>
    <n v="0.6"/>
    <s v="INTJ"/>
    <x v="1"/>
    <x v="1"/>
  </r>
  <r>
    <n v="9224"/>
    <n v="9.1999999999999993"/>
    <n v="0.46666666666666667"/>
    <n v="0.19999999999999996"/>
    <n v="1"/>
    <n v="0.4"/>
    <s v="ENTP"/>
    <x v="1"/>
    <x v="1"/>
  </r>
  <r>
    <n v="9225"/>
    <n v="9.1999999999999993"/>
    <n v="0.53333333333333333"/>
    <n v="0.46666666666666667"/>
    <n v="0.93333333333333335"/>
    <n v="0.53333333333333333"/>
    <s v="INTJ"/>
    <x v="1"/>
    <x v="1"/>
  </r>
  <r>
    <n v="9226"/>
    <n v="9.1999999999999993"/>
    <n v="0.53333333333333333"/>
    <n v="0.66666666666666663"/>
    <n v="1"/>
    <n v="0.8"/>
    <s v="ISTJ"/>
    <x v="1"/>
    <x v="1"/>
  </r>
  <r>
    <n v="9227"/>
    <n v="9.1999999999999993"/>
    <n v="0.73333333333333328"/>
    <n v="0.26666666666666661"/>
    <n v="1"/>
    <n v="0.26666666666666661"/>
    <s v="INTP"/>
    <x v="1"/>
    <x v="1"/>
  </r>
  <r>
    <n v="9228"/>
    <n v="9.1999999999999993"/>
    <n v="0.53333333333333333"/>
    <n v="0.33333333333333326"/>
    <n v="1"/>
    <n v="0.6"/>
    <s v="INTJ"/>
    <x v="1"/>
    <x v="1"/>
  </r>
  <r>
    <n v="9229"/>
    <n v="9.1999999999999993"/>
    <n v="0.26666666666666661"/>
    <n v="0.53333333333333333"/>
    <n v="0.8666666666666667"/>
    <n v="0.46666666666666667"/>
    <s v="ESTP"/>
    <x v="1"/>
    <x v="1"/>
  </r>
  <r>
    <n v="9230"/>
    <n v="9.1999999999999993"/>
    <n v="0.33333333333333326"/>
    <n v="0.33333333333333326"/>
    <n v="0.66666666666666663"/>
    <n v="0.53333333333333333"/>
    <s v="ENTJ"/>
    <x v="1"/>
    <x v="1"/>
  </r>
  <r>
    <n v="9231"/>
    <n v="9.1999999999999993"/>
    <n v="0.46666666666666667"/>
    <n v="0.66666666666666663"/>
    <n v="0.53333333333333333"/>
    <n v="0.1333333333333333"/>
    <s v="ESTP"/>
    <x v="1"/>
    <x v="1"/>
  </r>
  <r>
    <n v="9232"/>
    <n v="9.1999999999999993"/>
    <n v="0.46666666666666667"/>
    <n v="0.8"/>
    <n v="0.6"/>
    <n v="1"/>
    <s v="ESTJ"/>
    <x v="1"/>
    <x v="1"/>
  </r>
  <r>
    <n v="9233"/>
    <n v="9.1999999999999993"/>
    <n v="0.73333333333333328"/>
    <n v="0.26666666666666661"/>
    <n v="0.53333333333333333"/>
    <n v="0.53333333333333333"/>
    <s v="INTJ"/>
    <x v="1"/>
    <x v="1"/>
  </r>
  <r>
    <n v="9234"/>
    <n v="9.1999999999999993"/>
    <n v="0.33333333333333326"/>
    <n v="1"/>
    <n v="0.53333333333333333"/>
    <n v="0.66666666666666663"/>
    <s v="ESTJ"/>
    <x v="1"/>
    <x v="1"/>
  </r>
  <r>
    <n v="10101"/>
    <n v="10.1"/>
    <n v="0.53333333333333333"/>
    <n v="0.33333333333333326"/>
    <n v="0.66666666666666663"/>
    <n v="0.6"/>
    <s v="INTJ"/>
    <x v="0"/>
    <x v="0"/>
  </r>
  <r>
    <n v="10102"/>
    <n v="10.1"/>
    <n v="0.46666666666666667"/>
    <n v="0.66666666666666663"/>
    <n v="0.6"/>
    <n v="0.4"/>
    <s v="ESTP"/>
    <x v="0"/>
    <x v="0"/>
  </r>
  <r>
    <n v="10103"/>
    <n v="10.1"/>
    <n v="0.66666666666666663"/>
    <n v="0.66666666666666663"/>
    <n v="0.8666666666666667"/>
    <n v="0.46666666666666667"/>
    <s v="ISTP"/>
    <x v="0"/>
    <x v="0"/>
  </r>
  <r>
    <n v="10104"/>
    <n v="10.1"/>
    <n v="0.6"/>
    <n v="0.4"/>
    <n v="0.93333333333333335"/>
    <n v="0.53333333333333333"/>
    <s v="INTJ"/>
    <x v="0"/>
    <x v="0"/>
  </r>
  <r>
    <n v="10105"/>
    <n v="10.1"/>
    <n v="0.6"/>
    <n v="0.6"/>
    <n v="0.53333333333333333"/>
    <n v="0.46666666666666667"/>
    <s v="ISTP"/>
    <x v="0"/>
    <x v="0"/>
  </r>
  <r>
    <n v="10106"/>
    <n v="10.1"/>
    <n v="1"/>
    <n v="0.73333333333333328"/>
    <n v="0.8666666666666667"/>
    <n v="0.46666666666666667"/>
    <s v="ISTP"/>
    <x v="0"/>
    <x v="0"/>
  </r>
  <r>
    <n v="10107"/>
    <n v="10.1"/>
    <n v="0.8"/>
    <n v="0.66666666666666663"/>
    <n v="0.53333333333333333"/>
    <n v="0.53333333333333333"/>
    <s v="ISTJ"/>
    <x v="0"/>
    <x v="0"/>
  </r>
  <r>
    <n v="10108"/>
    <n v="10.1"/>
    <n v="0.53333333333333333"/>
    <n v="0.46666666666666667"/>
    <n v="0.93333333333333335"/>
    <n v="0.19999999999999996"/>
    <s v="INTP"/>
    <x v="0"/>
    <x v="0"/>
  </r>
  <r>
    <n v="10109"/>
    <n v="10.1"/>
    <n v="0.66666666666666663"/>
    <n v="0.66666666666666663"/>
    <n v="0.46666666666666667"/>
    <n v="0.73333333333333328"/>
    <s v="ISFJ"/>
    <x v="0"/>
    <x v="0"/>
  </r>
  <r>
    <n v="10110"/>
    <n v="10.1"/>
    <n v="0.33333333333333326"/>
    <n v="0.46666666666666667"/>
    <n v="0.8"/>
    <n v="0.46666666666666667"/>
    <s v="ENTP"/>
    <x v="0"/>
    <x v="0"/>
  </r>
  <r>
    <n v="10111"/>
    <n v="10.1"/>
    <n v="0.66666666666666663"/>
    <n v="0.33333333333333326"/>
    <n v="0.8666666666666667"/>
    <n v="0.46666666666666667"/>
    <s v="INTP"/>
    <x v="0"/>
    <x v="0"/>
  </r>
  <r>
    <n v="10112"/>
    <n v="10.1"/>
    <n v="0.66666666666666663"/>
    <n v="0.4"/>
    <n v="0.66666666666666663"/>
    <n v="0.73333333333333328"/>
    <s v="INTJ"/>
    <x v="0"/>
    <x v="0"/>
  </r>
  <r>
    <n v="10113"/>
    <n v="10.1"/>
    <n v="0.8"/>
    <n v="0.46666666666666667"/>
    <n v="0.8666666666666667"/>
    <n v="0.66666666666666663"/>
    <s v="INTJ"/>
    <x v="0"/>
    <x v="0"/>
  </r>
  <r>
    <n v="10114"/>
    <n v="10.1"/>
    <n v="0.53333333333333333"/>
    <n v="0.66666666666666663"/>
    <n v="0.6"/>
    <n v="0.46666666666666667"/>
    <s v="ISTP"/>
    <x v="0"/>
    <x v="0"/>
  </r>
  <r>
    <n v="10115"/>
    <n v="10.1"/>
    <n v="0.6"/>
    <n v="0.6"/>
    <n v="0.66666666666666663"/>
    <n v="0.4"/>
    <s v="ISTP"/>
    <x v="0"/>
    <x v="0"/>
  </r>
  <r>
    <n v="10116"/>
    <n v="10.1"/>
    <n v="0.66666666666666663"/>
    <n v="0.73333333333333328"/>
    <n v="0.93333333333333335"/>
    <n v="0.6"/>
    <s v="ISTJ"/>
    <x v="0"/>
    <x v="0"/>
  </r>
  <r>
    <n v="10117"/>
    <n v="10.1"/>
    <n v="0.53333333333333333"/>
    <n v="0.26666666666666661"/>
    <n v="0.6"/>
    <n v="0.66666666666666663"/>
    <s v="INTJ"/>
    <x v="0"/>
    <x v="0"/>
  </r>
  <r>
    <n v="10118"/>
    <n v="10.1"/>
    <n v="0.8"/>
    <n v="0.1333333333333333"/>
    <n v="0.66666666666666663"/>
    <n v="0.53333333333333333"/>
    <s v="INTJ"/>
    <x v="0"/>
    <x v="0"/>
  </r>
  <r>
    <n v="10119"/>
    <n v="10.1"/>
    <n v="0.46666666666666667"/>
    <n v="0.46666666666666667"/>
    <n v="0.93333333333333335"/>
    <n v="0.33333333333333326"/>
    <s v="ENTP"/>
    <x v="0"/>
    <x v="0"/>
  </r>
  <r>
    <n v="10120"/>
    <n v="10.1"/>
    <n v="0.46666666666666667"/>
    <n v="0.53333333333333333"/>
    <n v="0.53333333333333333"/>
    <n v="0.6"/>
    <s v="ESTJ"/>
    <x v="0"/>
    <x v="0"/>
  </r>
  <r>
    <n v="10121"/>
    <n v="10.1"/>
    <n v="0.46666666666666667"/>
    <n v="0.6"/>
    <n v="0.8"/>
    <n v="0.66666666666666663"/>
    <s v="ESTJ"/>
    <x v="0"/>
    <x v="0"/>
  </r>
  <r>
    <n v="10122"/>
    <n v="10.1"/>
    <n v="0.73333333333333328"/>
    <n v="0.46666666666666667"/>
    <n v="0.66666666666666663"/>
    <n v="0.33333333333333326"/>
    <s v="INTP"/>
    <x v="0"/>
    <x v="0"/>
  </r>
  <r>
    <n v="10123"/>
    <n v="10.1"/>
    <n v="0.8"/>
    <n v="0.26666666666666661"/>
    <n v="0.8"/>
    <n v="0.46666666666666667"/>
    <s v="INTP"/>
    <x v="0"/>
    <x v="0"/>
  </r>
  <r>
    <n v="10124"/>
    <n v="10.1"/>
    <n v="0.53333333333333333"/>
    <n v="0.66666666666666663"/>
    <n v="0.73333333333333328"/>
    <n v="0.26666666666666661"/>
    <s v="ISTP"/>
    <x v="0"/>
    <x v="0"/>
  </r>
  <r>
    <n v="10125"/>
    <n v="10.1"/>
    <n v="0.66666666666666663"/>
    <n v="0.53333333333333333"/>
    <n v="0.53333333333333333"/>
    <n v="0.33333333333333326"/>
    <s v="ISTP"/>
    <x v="0"/>
    <x v="0"/>
  </r>
  <r>
    <n v="10126"/>
    <n v="10.1"/>
    <n v="0.8666666666666667"/>
    <n v="0.46666666666666667"/>
    <n v="0.66666666666666663"/>
    <n v="0.6"/>
    <s v="INTJ"/>
    <x v="0"/>
    <x v="0"/>
  </r>
  <r>
    <n v="10127"/>
    <n v="10.1"/>
    <n v="0.46666666666666667"/>
    <n v="0.26666666666666661"/>
    <n v="0.53333333333333333"/>
    <n v="0.6"/>
    <s v="ENTJ"/>
    <x v="0"/>
    <x v="0"/>
  </r>
  <r>
    <n v="10128"/>
    <n v="10.1"/>
    <n v="0.66666666666666663"/>
    <n v="0.46666666666666667"/>
    <n v="0.8"/>
    <n v="0.4"/>
    <s v="INTP"/>
    <x v="0"/>
    <x v="0"/>
  </r>
  <r>
    <n v="10129"/>
    <n v="10.1"/>
    <n v="0.6"/>
    <n v="0.53333333333333333"/>
    <n v="0.53333333333333333"/>
    <n v="0.53333333333333333"/>
    <s v="ISTJ"/>
    <x v="0"/>
    <x v="0"/>
  </r>
  <r>
    <n v="10201"/>
    <n v="10.199999999999999"/>
    <n v="0.66666666666666663"/>
    <n v="0.53333333333333333"/>
    <n v="0.93333333333333335"/>
    <n v="0.33333333333333326"/>
    <s v="ISTP"/>
    <x v="0"/>
    <x v="1"/>
  </r>
  <r>
    <n v="10202"/>
    <n v="10.199999999999999"/>
    <n v="0.66666666666666663"/>
    <n v="0.93333333333333335"/>
    <n v="0.8666666666666667"/>
    <n v="0.73333333333333328"/>
    <s v="ISTJ"/>
    <x v="0"/>
    <x v="1"/>
  </r>
  <r>
    <n v="10203"/>
    <n v="10.199999999999999"/>
    <n v="0.6"/>
    <n v="0.66666666666666663"/>
    <n v="1"/>
    <n v="0.53333333333333333"/>
    <s v="ISTJ"/>
    <x v="0"/>
    <x v="1"/>
  </r>
  <r>
    <n v="10204"/>
    <n v="10.199999999999999"/>
    <n v="0.8666666666666667"/>
    <n v="0.26666666666666661"/>
    <n v="0.8666666666666667"/>
    <n v="0.73333333333333328"/>
    <s v="INTJ"/>
    <x v="0"/>
    <x v="1"/>
  </r>
  <r>
    <n v="10205"/>
    <n v="10.199999999999999"/>
    <n v="0.46666666666666667"/>
    <n v="0.73333333333333328"/>
    <n v="0.6"/>
    <n v="0.33333333333333326"/>
    <s v="ESTP"/>
    <x v="0"/>
    <x v="1"/>
  </r>
  <r>
    <n v="10206"/>
    <n v="10.199999999999999"/>
    <n v="0.6"/>
    <n v="0.8666666666666667"/>
    <n v="0.8"/>
    <n v="0.73333333333333328"/>
    <s v="ISTJ"/>
    <x v="0"/>
    <x v="1"/>
  </r>
  <r>
    <n v="10207"/>
    <n v="10.199999999999999"/>
    <n v="0.46666666666666667"/>
    <n v="0.46666666666666667"/>
    <n v="0.46666666666666667"/>
    <n v="0.4"/>
    <s v="ENFP"/>
    <x v="0"/>
    <x v="1"/>
  </r>
  <r>
    <n v="10208"/>
    <n v="10.199999999999999"/>
    <n v="0.8"/>
    <n v="0.46666666666666667"/>
    <n v="1"/>
    <n v="0.46666666666666667"/>
    <s v="INTP"/>
    <x v="0"/>
    <x v="1"/>
  </r>
  <r>
    <n v="10209"/>
    <n v="10.199999999999999"/>
    <n v="0.53333333333333333"/>
    <n v="0.73333333333333328"/>
    <n v="0.6"/>
    <n v="0.19999999999999996"/>
    <s v="ISTP"/>
    <x v="0"/>
    <x v="1"/>
  </r>
  <r>
    <n v="10210"/>
    <n v="10.199999999999999"/>
    <n v="0.8666666666666667"/>
    <n v="0.53333333333333333"/>
    <n v="0.26666666666666661"/>
    <n v="0.53333333333333333"/>
    <s v="ISFJ"/>
    <x v="0"/>
    <x v="1"/>
  </r>
  <r>
    <n v="10211"/>
    <n v="10.199999999999999"/>
    <n v="0.53333333333333333"/>
    <n v="0.8666666666666667"/>
    <n v="0.53333333333333333"/>
    <n v="0.4"/>
    <s v="ISTP"/>
    <x v="0"/>
    <x v="1"/>
  </r>
  <r>
    <n v="10212"/>
    <n v="10.199999999999999"/>
    <n v="0.4"/>
    <n v="0.26666666666666661"/>
    <n v="0.53333333333333333"/>
    <n v="0.19999999999999996"/>
    <s v="ENTP"/>
    <x v="0"/>
    <x v="1"/>
  </r>
  <r>
    <n v="10213"/>
    <n v="10.199999999999999"/>
    <n v="0.4"/>
    <n v="0.1333333333333333"/>
    <n v="0.4"/>
    <n v="0.19999999999999996"/>
    <s v="ENFP"/>
    <x v="0"/>
    <x v="1"/>
  </r>
  <r>
    <n v="10214"/>
    <n v="10.199999999999999"/>
    <n v="0.46666666666666667"/>
    <n v="0.33333333333333326"/>
    <n v="0.46666666666666667"/>
    <n v="0.6"/>
    <s v="ENFJ"/>
    <x v="0"/>
    <x v="1"/>
  </r>
  <r>
    <n v="10215"/>
    <n v="10.199999999999999"/>
    <n v="0.6"/>
    <n v="0.4"/>
    <n v="0.6"/>
    <n v="0.8666666666666667"/>
    <s v="INTJ"/>
    <x v="0"/>
    <x v="1"/>
  </r>
  <r>
    <n v="10216"/>
    <n v="10.199999999999999"/>
    <n v="0.66666666666666663"/>
    <n v="0.6"/>
    <n v="0.1333333333333333"/>
    <n v="0.4"/>
    <s v="ISFP"/>
    <x v="0"/>
    <x v="1"/>
  </r>
  <r>
    <n v="10217"/>
    <n v="10.199999999999999"/>
    <n v="0.1333333333333333"/>
    <n v="0.4"/>
    <n v="0.8"/>
    <n v="0.4"/>
    <s v="ENTP"/>
    <x v="0"/>
    <x v="1"/>
  </r>
  <r>
    <n v="10218"/>
    <n v="10.199999999999999"/>
    <n v="0.73333333333333328"/>
    <n v="0.26666666666666661"/>
    <n v="0.8666666666666667"/>
    <n v="0.19999999999999996"/>
    <s v="INTP"/>
    <x v="0"/>
    <x v="1"/>
  </r>
  <r>
    <n v="10219"/>
    <n v="10.199999999999999"/>
    <n v="0.53333333333333333"/>
    <n v="0.53333333333333333"/>
    <n v="0.8"/>
    <n v="0.46666666666666667"/>
    <s v="ISTP"/>
    <x v="0"/>
    <x v="1"/>
  </r>
  <r>
    <n v="10220"/>
    <n v="10.199999999999999"/>
    <n v="1"/>
    <n v="0.4"/>
    <n v="0.6"/>
    <n v="0"/>
    <s v="INTP"/>
    <x v="0"/>
    <x v="1"/>
  </r>
  <r>
    <n v="10221"/>
    <n v="10.199999999999999"/>
    <n v="1"/>
    <n v="0.4"/>
    <n v="0.46666666666666667"/>
    <n v="0.8"/>
    <s v="INFJ"/>
    <x v="0"/>
    <x v="1"/>
  </r>
  <r>
    <n v="10222"/>
    <n v="10.199999999999999"/>
    <n v="0.8666666666666667"/>
    <n v="0.46666666666666667"/>
    <n v="0.4"/>
    <n v="0.6"/>
    <s v="INFJ"/>
    <x v="0"/>
    <x v="1"/>
  </r>
  <r>
    <n v="10223"/>
    <n v="10.199999999999999"/>
    <n v="0.46666666666666667"/>
    <n v="0.19999999999999996"/>
    <n v="0.93333333333333335"/>
    <n v="6.6666666666666652E-2"/>
    <s v="ENTP"/>
    <x v="0"/>
    <x v="1"/>
  </r>
  <r>
    <n v="10224"/>
    <n v="10.199999999999999"/>
    <n v="0.73333333333333328"/>
    <n v="0.6"/>
    <n v="1"/>
    <n v="0.6"/>
    <s v="ISTJ"/>
    <x v="0"/>
    <x v="1"/>
  </r>
  <r>
    <n v="10225"/>
    <n v="10.199999999999999"/>
    <n v="0.19999999999999996"/>
    <n v="0.26666666666666661"/>
    <n v="0.73333333333333328"/>
    <n v="0.6"/>
    <s v="ENTJ"/>
    <x v="0"/>
    <x v="1"/>
  </r>
  <r>
    <n v="10226"/>
    <n v="10.199999999999999"/>
    <n v="0.8"/>
    <n v="6.6666666666666652E-2"/>
    <n v="0.66666666666666663"/>
    <n v="0.73333333333333328"/>
    <s v="INTJ"/>
    <x v="0"/>
    <x v="1"/>
  </r>
  <r>
    <n v="10227"/>
    <n v="10.199999999999999"/>
    <n v="0.93333333333333335"/>
    <n v="0.8666666666666667"/>
    <n v="0.6"/>
    <n v="0.73333333333333328"/>
    <s v="ISTJ"/>
    <x v="0"/>
    <x v="1"/>
  </r>
  <r>
    <n v="10228"/>
    <n v="10.199999999999999"/>
    <n v="1"/>
    <n v="0.73333333333333328"/>
    <n v="0.8666666666666667"/>
    <n v="0.66666666666666663"/>
    <s v="ISTJ"/>
    <x v="0"/>
    <x v="1"/>
  </r>
  <r>
    <n v="10229"/>
    <n v="10.199999999999999"/>
    <n v="0.46666666666666667"/>
    <n v="0.1333333333333333"/>
    <n v="0.93333333333333335"/>
    <n v="0.46666666666666667"/>
    <s v="ENTP"/>
    <x v="0"/>
    <x v="1"/>
  </r>
  <r>
    <n v="10230"/>
    <n v="10.199999999999999"/>
    <n v="0.6"/>
    <n v="0.33333333333333326"/>
    <n v="0.6"/>
    <n v="0.6"/>
    <s v="INTJ"/>
    <x v="0"/>
    <x v="1"/>
  </r>
  <r>
    <n v="10231"/>
    <n v="10.199999999999999"/>
    <n v="0.4"/>
    <n v="0.46666666666666667"/>
    <n v="0.8"/>
    <n v="0.53333333333333333"/>
    <s v="ENTJ"/>
    <x v="0"/>
    <x v="1"/>
  </r>
  <r>
    <n v="11101"/>
    <n v="11.1"/>
    <n v="0.66666666666666663"/>
    <n v="0.66666666666666663"/>
    <n v="0.8"/>
    <n v="0.66666666666666663"/>
    <s v="ISTJ"/>
    <x v="4"/>
    <x v="0"/>
  </r>
  <r>
    <n v="11102"/>
    <n v="11.1"/>
    <n v="0.8"/>
    <n v="0.46666666666666667"/>
    <n v="0.93333333333333335"/>
    <n v="0.4"/>
    <s v="INTP"/>
    <x v="4"/>
    <x v="0"/>
  </r>
  <r>
    <n v="11103"/>
    <n v="11.1"/>
    <n v="0.73333333333333328"/>
    <n v="0.53333333333333333"/>
    <n v="1"/>
    <n v="0.46666666666666667"/>
    <s v="ISTP"/>
    <x v="4"/>
    <x v="0"/>
  </r>
  <r>
    <n v="11104"/>
    <n v="11.1"/>
    <n v="0.66666666666666663"/>
    <n v="0.46666666666666667"/>
    <n v="0.8"/>
    <n v="0.73333333333333328"/>
    <s v="INTJ"/>
    <x v="4"/>
    <x v="0"/>
  </r>
  <r>
    <n v="11105"/>
    <n v="11.1"/>
    <n v="0.66666666666666663"/>
    <n v="0.46666666666666667"/>
    <n v="0.53333333333333333"/>
    <n v="0.93333333333333335"/>
    <s v="INTJ"/>
    <x v="4"/>
    <x v="0"/>
  </r>
  <r>
    <n v="11106"/>
    <n v="11.1"/>
    <n v="0.66666666666666663"/>
    <n v="0.4"/>
    <n v="0.8666666666666667"/>
    <n v="0.4"/>
    <s v="INTP"/>
    <x v="4"/>
    <x v="0"/>
  </r>
  <r>
    <n v="11107"/>
    <n v="11.1"/>
    <n v="0.4"/>
    <n v="0.4"/>
    <n v="0.8"/>
    <n v="0.8"/>
    <s v="ENTJ"/>
    <x v="4"/>
    <x v="0"/>
  </r>
  <r>
    <n v="11108"/>
    <n v="11.1"/>
    <n v="0.66666666666666663"/>
    <n v="0.33333333333333326"/>
    <n v="0.66666666666666663"/>
    <n v="0.93333333333333335"/>
    <s v="INTJ"/>
    <x v="4"/>
    <x v="0"/>
  </r>
  <r>
    <n v="11109"/>
    <n v="11.1"/>
    <n v="0.8"/>
    <n v="0.46666666666666667"/>
    <n v="0.8"/>
    <n v="0.46666666666666667"/>
    <s v="INTP"/>
    <x v="4"/>
    <x v="0"/>
  </r>
  <r>
    <n v="11110"/>
    <n v="11.1"/>
    <n v="0.66666666666666663"/>
    <n v="0.46666666666666667"/>
    <n v="0.6"/>
    <n v="0.73333333333333328"/>
    <s v="INTJ"/>
    <x v="4"/>
    <x v="0"/>
  </r>
  <r>
    <n v="11111"/>
    <n v="11.1"/>
    <n v="0.6"/>
    <n v="0.46666666666666667"/>
    <n v="0.73333333333333328"/>
    <n v="0.6"/>
    <s v="INTJ"/>
    <x v="4"/>
    <x v="0"/>
  </r>
  <r>
    <n v="11112"/>
    <n v="11.1"/>
    <n v="0.6"/>
    <n v="0.53333333333333333"/>
    <n v="0.93333333333333335"/>
    <n v="0.19999999999999996"/>
    <s v="ISTP"/>
    <x v="4"/>
    <x v="0"/>
  </r>
  <r>
    <n v="11113"/>
    <n v="11.1"/>
    <n v="0.53333333333333333"/>
    <n v="0.66666666666666663"/>
    <n v="0.66666666666666663"/>
    <n v="0.53333333333333333"/>
    <s v="ISTJ"/>
    <x v="4"/>
    <x v="0"/>
  </r>
  <r>
    <n v="11114"/>
    <n v="11.1"/>
    <n v="0.46666666666666667"/>
    <n v="0.33333333333333326"/>
    <n v="0.93333333333333335"/>
    <n v="0.4"/>
    <s v="ENTP"/>
    <x v="4"/>
    <x v="0"/>
  </r>
  <r>
    <n v="11115"/>
    <n v="11.1"/>
    <n v="0.6"/>
    <n v="0.66666666666666663"/>
    <n v="1"/>
    <n v="0.66666666666666663"/>
    <s v="ISTJ"/>
    <x v="4"/>
    <x v="0"/>
  </r>
  <r>
    <n v="11116"/>
    <n v="11.1"/>
    <n v="0.73333333333333328"/>
    <n v="0.4"/>
    <n v="0.93333333333333335"/>
    <n v="0.66666666666666663"/>
    <s v="INTJ"/>
    <x v="4"/>
    <x v="0"/>
  </r>
  <r>
    <n v="11117"/>
    <n v="11.1"/>
    <n v="0.33333333333333326"/>
    <n v="0.6"/>
    <n v="0.73333333333333328"/>
    <n v="0.6"/>
    <s v="ESTJ"/>
    <x v="4"/>
    <x v="0"/>
  </r>
  <r>
    <n v="11118"/>
    <n v="11.1"/>
    <n v="0.8"/>
    <n v="0.66666666666666663"/>
    <n v="0.6"/>
    <n v="0.4"/>
    <s v="ISTP"/>
    <x v="4"/>
    <x v="0"/>
  </r>
  <r>
    <n v="11119"/>
    <n v="11.1"/>
    <n v="0.53333333333333333"/>
    <n v="0.66666666666666663"/>
    <n v="0.73333333333333328"/>
    <n v="0.66666666666666663"/>
    <s v="ISTJ"/>
    <x v="4"/>
    <x v="0"/>
  </r>
  <r>
    <n v="11120"/>
    <n v="11.1"/>
    <n v="0.4"/>
    <n v="0.6"/>
    <n v="0.93333333333333335"/>
    <n v="0.66666666666666663"/>
    <s v="ESTJ"/>
    <x v="4"/>
    <x v="0"/>
  </r>
  <r>
    <n v="11121"/>
    <n v="11.1"/>
    <n v="0.8"/>
    <n v="0.4"/>
    <n v="0.8666666666666667"/>
    <n v="0.4"/>
    <s v="INTP"/>
    <x v="4"/>
    <x v="0"/>
  </r>
  <r>
    <n v="11122"/>
    <n v="11.1"/>
    <n v="0.73333333333333328"/>
    <n v="0.4"/>
    <n v="0.8666666666666667"/>
    <n v="0.4"/>
    <s v="INTP"/>
    <x v="4"/>
    <x v="0"/>
  </r>
  <r>
    <n v="11123"/>
    <n v="11.1"/>
    <n v="0.6"/>
    <n v="0.4"/>
    <n v="0.73333333333333328"/>
    <n v="0.66666666666666663"/>
    <s v="INTJ"/>
    <x v="4"/>
    <x v="0"/>
  </r>
  <r>
    <n v="11124"/>
    <n v="11.1"/>
    <n v="0.8666666666666667"/>
    <n v="0.46666666666666667"/>
    <n v="0.73333333333333328"/>
    <n v="0.53333333333333333"/>
    <s v="INTJ"/>
    <x v="4"/>
    <x v="0"/>
  </r>
  <r>
    <n v="11125"/>
    <n v="11.1"/>
    <n v="0.8"/>
    <n v="0.6"/>
    <n v="0.73333333333333328"/>
    <n v="0.4"/>
    <s v="ISTP"/>
    <x v="4"/>
    <x v="0"/>
  </r>
  <r>
    <n v="11126"/>
    <n v="11.1"/>
    <n v="0.66666666666666663"/>
    <n v="0.53333333333333333"/>
    <n v="0.93333333333333335"/>
    <n v="0.46666666666666667"/>
    <s v="ISTP"/>
    <x v="4"/>
    <x v="0"/>
  </r>
  <r>
    <n v="11127"/>
    <n v="11.1"/>
    <n v="0.6"/>
    <n v="0.4"/>
    <n v="1"/>
    <n v="0.26666666666666661"/>
    <s v="INTP"/>
    <x v="4"/>
    <x v="0"/>
  </r>
  <r>
    <n v="11128"/>
    <n v="11.1"/>
    <n v="0.4"/>
    <n v="0.66666666666666663"/>
    <n v="0.8666666666666667"/>
    <n v="0.6"/>
    <s v="ESTJ"/>
    <x v="4"/>
    <x v="0"/>
  </r>
  <r>
    <n v="11129"/>
    <n v="11.1"/>
    <n v="0.6"/>
    <n v="0.6"/>
    <n v="0.66666666666666663"/>
    <n v="0.53333333333333333"/>
    <s v="ISTJ"/>
    <x v="4"/>
    <x v="0"/>
  </r>
  <r>
    <n v="11130"/>
    <n v="11.1"/>
    <n v="0.4"/>
    <n v="0.53333333333333333"/>
    <n v="0.66666666666666663"/>
    <n v="0.66666666666666663"/>
    <s v="ESTJ"/>
    <x v="4"/>
    <x v="0"/>
  </r>
  <r>
    <n v="11131"/>
    <n v="11.1"/>
    <n v="0.73333333333333328"/>
    <n v="0.6"/>
    <n v="0.8"/>
    <n v="0.66666666666666663"/>
    <s v="ISTJ"/>
    <x v="4"/>
    <x v="0"/>
  </r>
  <r>
    <n v="11132"/>
    <n v="11.1"/>
    <n v="0.4"/>
    <n v="0.4"/>
    <n v="0.6"/>
    <n v="0.4"/>
    <s v="ENTP"/>
    <x v="4"/>
    <x v="0"/>
  </r>
  <r>
    <n v="11133"/>
    <n v="11.1"/>
    <n v="0.46666666666666667"/>
    <n v="0.46666666666666667"/>
    <n v="0.66666666666666663"/>
    <n v="0.33333333333333326"/>
    <s v="ENTP"/>
    <x v="4"/>
    <x v="0"/>
  </r>
  <r>
    <n v="11134"/>
    <n v="11.1"/>
    <n v="0.73333333333333328"/>
    <n v="0.53333333333333333"/>
    <n v="0.8"/>
    <n v="0.19999999999999996"/>
    <s v="ISTP"/>
    <x v="4"/>
    <x v="0"/>
  </r>
  <r>
    <n v="11201"/>
    <n v="11.2"/>
    <n v="1"/>
    <n v="0.53333333333333333"/>
    <n v="0.53333333333333333"/>
    <n v="0.4"/>
    <s v="ISTP"/>
    <x v="4"/>
    <x v="1"/>
  </r>
  <r>
    <n v="11202"/>
    <n v="11.2"/>
    <n v="0.8"/>
    <n v="0.73333333333333328"/>
    <n v="1"/>
    <n v="0.6"/>
    <s v="ISTJ"/>
    <x v="4"/>
    <x v="1"/>
  </r>
  <r>
    <n v="11203"/>
    <n v="11.2"/>
    <n v="0.66666666666666663"/>
    <n v="0.73333333333333328"/>
    <n v="0.66666666666666663"/>
    <n v="0.66666666666666663"/>
    <s v="ISTJ"/>
    <x v="4"/>
    <x v="1"/>
  </r>
  <r>
    <n v="11204"/>
    <n v="11.2"/>
    <n v="0.53333333333333333"/>
    <n v="0.1333333333333333"/>
    <n v="0.66666666666666663"/>
    <n v="0.46666666666666667"/>
    <s v="INTP"/>
    <x v="4"/>
    <x v="1"/>
  </r>
  <r>
    <n v="11205"/>
    <n v="11.2"/>
    <n v="0.73333333333333328"/>
    <n v="0.53333333333333333"/>
    <n v="0.53333333333333333"/>
    <n v="0.33333333333333326"/>
    <s v="ISTP"/>
    <x v="4"/>
    <x v="1"/>
  </r>
  <r>
    <n v="11206"/>
    <n v="11.2"/>
    <n v="0.6"/>
    <n v="0.8"/>
    <n v="0.53333333333333333"/>
    <n v="0.53333333333333333"/>
    <s v="ISTJ"/>
    <x v="4"/>
    <x v="1"/>
  </r>
  <r>
    <n v="11207"/>
    <n v="11.2"/>
    <n v="0.6"/>
    <n v="0.8666666666666667"/>
    <n v="0.93333333333333335"/>
    <n v="0.66666666666666663"/>
    <s v="ISTJ"/>
    <x v="4"/>
    <x v="1"/>
  </r>
  <r>
    <n v="11208"/>
    <n v="11.2"/>
    <n v="0.53333333333333333"/>
    <n v="0.8"/>
    <n v="0.4"/>
    <n v="0.53333333333333333"/>
    <s v="ISFJ"/>
    <x v="4"/>
    <x v="1"/>
  </r>
  <r>
    <n v="11209"/>
    <n v="11.2"/>
    <n v="0.8"/>
    <n v="0.53333333333333333"/>
    <n v="0.73333333333333328"/>
    <n v="0.53333333333333333"/>
    <s v="ISTJ"/>
    <x v="4"/>
    <x v="1"/>
  </r>
  <r>
    <n v="11210"/>
    <n v="11.2"/>
    <n v="0.6"/>
    <n v="0.6"/>
    <n v="0.8666666666666667"/>
    <n v="0.66666666666666663"/>
    <s v="ISTJ"/>
    <x v="4"/>
    <x v="1"/>
  </r>
  <r>
    <n v="11211"/>
    <n v="11.2"/>
    <n v="0.6"/>
    <n v="0.53333333333333333"/>
    <n v="0.73333333333333328"/>
    <n v="0.4"/>
    <s v="ISTP"/>
    <x v="4"/>
    <x v="1"/>
  </r>
  <r>
    <n v="11212"/>
    <n v="11.2"/>
    <n v="0.4"/>
    <n v="0.73333333333333328"/>
    <n v="0.33333333333333326"/>
    <n v="0.53333333333333333"/>
    <s v="ESFJ"/>
    <x v="4"/>
    <x v="1"/>
  </r>
  <r>
    <n v="11213"/>
    <n v="11.2"/>
    <n v="0.66666666666666663"/>
    <n v="0.4"/>
    <n v="0.8"/>
    <n v="0.46666666666666667"/>
    <s v="INTP"/>
    <x v="4"/>
    <x v="1"/>
  </r>
  <r>
    <n v="11214"/>
    <n v="11.2"/>
    <n v="1"/>
    <n v="0.53333333333333333"/>
    <n v="0.93333333333333335"/>
    <n v="0.33333333333333326"/>
    <s v="ISTP"/>
    <x v="4"/>
    <x v="1"/>
  </r>
  <r>
    <n v="11215"/>
    <n v="11.2"/>
    <n v="0.33333333333333326"/>
    <n v="0.33333333333333326"/>
    <n v="0.66666666666666663"/>
    <n v="0.6"/>
    <s v="ENTJ"/>
    <x v="4"/>
    <x v="1"/>
  </r>
  <r>
    <n v="11216"/>
    <n v="11.2"/>
    <n v="0.8"/>
    <n v="0.53333333333333333"/>
    <n v="0.8666666666666667"/>
    <n v="0.26666666666666661"/>
    <s v="ISTP"/>
    <x v="4"/>
    <x v="1"/>
  </r>
  <r>
    <n v="11217"/>
    <n v="11.2"/>
    <n v="0.8666666666666667"/>
    <n v="6.6666666666666652E-2"/>
    <n v="1"/>
    <n v="0.73333333333333328"/>
    <s v="INTJ"/>
    <x v="4"/>
    <x v="1"/>
  </r>
  <r>
    <n v="11218"/>
    <n v="11.2"/>
    <n v="0.66666666666666663"/>
    <n v="0.8"/>
    <n v="0.53333333333333333"/>
    <n v="0.46666666666666667"/>
    <s v="ISTP"/>
    <x v="4"/>
    <x v="1"/>
  </r>
  <r>
    <n v="11219"/>
    <n v="11.2"/>
    <n v="0.53333333333333333"/>
    <n v="0.66666666666666663"/>
    <n v="0.66666666666666663"/>
    <n v="0.6"/>
    <s v="ISTJ"/>
    <x v="4"/>
    <x v="1"/>
  </r>
  <r>
    <n v="11220"/>
    <n v="11.2"/>
    <n v="0.53333333333333333"/>
    <n v="0.46666666666666667"/>
    <n v="0.26666666666666661"/>
    <n v="0.46666666666666667"/>
    <s v="INFP"/>
    <x v="4"/>
    <x v="1"/>
  </r>
  <r>
    <n v="11221"/>
    <n v="11.2"/>
    <n v="0.4"/>
    <n v="0.73333333333333328"/>
    <n v="0.93333333333333335"/>
    <n v="0.1333333333333333"/>
    <s v="ESTP"/>
    <x v="4"/>
    <x v="1"/>
  </r>
  <r>
    <n v="11222"/>
    <n v="11.2"/>
    <n v="0.66666666666666663"/>
    <n v="0.6"/>
    <n v="0.8666666666666667"/>
    <n v="0.8"/>
    <s v="ISTJ"/>
    <x v="4"/>
    <x v="1"/>
  </r>
  <r>
    <n v="11223"/>
    <n v="11.2"/>
    <n v="0.66666666666666663"/>
    <n v="0.19999999999999996"/>
    <n v="0.93333333333333335"/>
    <n v="0.19999999999999996"/>
    <s v="INTP"/>
    <x v="4"/>
    <x v="1"/>
  </r>
  <r>
    <n v="11224"/>
    <n v="11.2"/>
    <n v="0.26666666666666661"/>
    <n v="0.53333333333333333"/>
    <n v="0.73333333333333328"/>
    <n v="0.26666666666666661"/>
    <s v="ESTP"/>
    <x v="4"/>
    <x v="1"/>
  </r>
  <r>
    <n v="11225"/>
    <n v="11.2"/>
    <n v="0.8666666666666667"/>
    <n v="0.33333333333333326"/>
    <n v="0.53333333333333333"/>
    <n v="0.26666666666666661"/>
    <s v="INTP"/>
    <x v="4"/>
    <x v="1"/>
  </r>
  <r>
    <n v="11226"/>
    <n v="11.2"/>
    <n v="0.8"/>
    <n v="0.26666666666666661"/>
    <n v="0.8"/>
    <n v="0.6"/>
    <s v="INTJ"/>
    <x v="4"/>
    <x v="1"/>
  </r>
  <r>
    <n v="11227"/>
    <n v="11.2"/>
    <n v="0.46666666666666667"/>
    <n v="0.53333333333333333"/>
    <n v="0.73333333333333328"/>
    <n v="0.6"/>
    <s v="ESTJ"/>
    <x v="4"/>
    <x v="1"/>
  </r>
  <r>
    <n v="11228"/>
    <n v="11.2"/>
    <n v="0.46666666666666667"/>
    <n v="0.46666666666666667"/>
    <n v="0.66666666666666663"/>
    <n v="0.53333333333333333"/>
    <s v="ENTJ"/>
    <x v="4"/>
    <x v="1"/>
  </r>
  <r>
    <n v="11229"/>
    <n v="11.2"/>
    <n v="0.66666666666666663"/>
    <n v="0.4"/>
    <n v="1"/>
    <n v="0.19999999999999996"/>
    <s v="INTP"/>
    <x v="4"/>
    <x v="1"/>
  </r>
  <r>
    <n v="11230"/>
    <n v="11.2"/>
    <n v="0.46666666666666667"/>
    <n v="0.33333333333333326"/>
    <n v="0.46666666666666667"/>
    <n v="0.6"/>
    <s v="ENFJ"/>
    <x v="4"/>
    <x v="1"/>
  </r>
  <r>
    <n v="11231"/>
    <n v="11.2"/>
    <n v="0.73333333333333328"/>
    <n v="6.6666666666666652E-2"/>
    <n v="0.4"/>
    <n v="0.66666666666666663"/>
    <s v="INFJ"/>
    <x v="4"/>
    <x v="1"/>
  </r>
  <r>
    <n v="11232"/>
    <n v="11.2"/>
    <n v="0.53333333333333333"/>
    <n v="0.33333333333333326"/>
    <n v="0.6"/>
    <n v="0.53333333333333333"/>
    <s v="INTJ"/>
    <x v="4"/>
    <x v="1"/>
  </r>
  <r>
    <n v="11233"/>
    <n v="11.2"/>
    <n v="0.73333333333333328"/>
    <n v="0.53333333333333333"/>
    <n v="0.93333333333333335"/>
    <n v="0.4"/>
    <s v="ISTP"/>
    <x v="4"/>
    <x v="1"/>
  </r>
  <r>
    <n v="11234"/>
    <n v="11.2"/>
    <n v="0.6"/>
    <n v="0.26666666666666661"/>
    <n v="0.8"/>
    <n v="0.66666666666666663"/>
    <s v="INTJ"/>
    <x v="4"/>
    <x v="1"/>
  </r>
  <r>
    <n v="12101"/>
    <n v="12.1"/>
    <n v="0.8666666666666667"/>
    <n v="0.46666666666666667"/>
    <n v="0.66666666666666663"/>
    <n v="0.4"/>
    <s v="INTP"/>
    <x v="5"/>
    <x v="0"/>
  </r>
  <r>
    <n v="12102"/>
    <n v="12.1"/>
    <n v="0.8"/>
    <n v="0.46666666666666667"/>
    <n v="0.8"/>
    <n v="0.26666666666666661"/>
    <s v="INTP"/>
    <x v="5"/>
    <x v="0"/>
  </r>
  <r>
    <n v="12103"/>
    <n v="12.1"/>
    <n v="0.8666666666666667"/>
    <n v="0.6"/>
    <n v="0.73333333333333328"/>
    <n v="0.6"/>
    <s v="ISTJ"/>
    <x v="5"/>
    <x v="0"/>
  </r>
  <r>
    <n v="12104"/>
    <n v="12.1"/>
    <n v="0.53333333333333333"/>
    <n v="0.46666666666666667"/>
    <n v="0.8"/>
    <n v="0.8"/>
    <s v="INTJ"/>
    <x v="5"/>
    <x v="0"/>
  </r>
  <r>
    <n v="12105"/>
    <n v="12.1"/>
    <n v="0.8666666666666667"/>
    <n v="0.46666666666666667"/>
    <n v="0.8"/>
    <n v="0.53333333333333333"/>
    <s v="INTJ"/>
    <x v="5"/>
    <x v="0"/>
  </r>
  <r>
    <n v="12106"/>
    <n v="12.1"/>
    <n v="0.53333333333333333"/>
    <n v="0.26666666666666661"/>
    <n v="0.73333333333333328"/>
    <n v="0.66666666666666663"/>
    <s v="INTJ"/>
    <x v="5"/>
    <x v="0"/>
  </r>
  <r>
    <n v="12107"/>
    <n v="12.1"/>
    <n v="0.6"/>
    <n v="0.46666666666666667"/>
    <n v="0.73333333333333328"/>
    <n v="0.46666666666666667"/>
    <s v="INTP"/>
    <x v="5"/>
    <x v="0"/>
  </r>
  <r>
    <n v="12108"/>
    <n v="12.1"/>
    <n v="0.46666666666666667"/>
    <n v="0.46666666666666667"/>
    <n v="0.73333333333333328"/>
    <n v="0.53333333333333333"/>
    <s v="ENTJ"/>
    <x v="5"/>
    <x v="0"/>
  </r>
  <r>
    <n v="12109"/>
    <n v="12.1"/>
    <n v="0.6"/>
    <n v="0.19999999999999996"/>
    <n v="1"/>
    <n v="0.1333333333333333"/>
    <s v="INTP"/>
    <x v="5"/>
    <x v="0"/>
  </r>
  <r>
    <n v="12110"/>
    <n v="12.1"/>
    <n v="0.8666666666666667"/>
    <n v="0.6"/>
    <n v="0.73333333333333328"/>
    <n v="0.8"/>
    <s v="ISTJ"/>
    <x v="5"/>
    <x v="0"/>
  </r>
  <r>
    <n v="12111"/>
    <n v="12.1"/>
    <n v="0.53333333333333333"/>
    <n v="0.8"/>
    <n v="0.66666666666666663"/>
    <n v="0.66666666666666663"/>
    <s v="ISTJ"/>
    <x v="5"/>
    <x v="0"/>
  </r>
  <r>
    <n v="12112"/>
    <n v="12.1"/>
    <n v="0.93333333333333335"/>
    <n v="1"/>
    <n v="0.8666666666666667"/>
    <n v="0.6"/>
    <s v="ISTJ"/>
    <x v="5"/>
    <x v="0"/>
  </r>
  <r>
    <n v="12113"/>
    <n v="12.1"/>
    <n v="0.73333333333333328"/>
    <n v="0.33333333333333326"/>
    <n v="0.53333333333333333"/>
    <n v="0.46666666666666667"/>
    <s v="INTP"/>
    <x v="5"/>
    <x v="0"/>
  </r>
  <r>
    <n v="12114"/>
    <n v="12.1"/>
    <n v="0.46666666666666667"/>
    <n v="0.46666666666666667"/>
    <n v="0.93333333333333335"/>
    <n v="0.33333333333333326"/>
    <s v="ENTP"/>
    <x v="5"/>
    <x v="0"/>
  </r>
  <r>
    <n v="12115"/>
    <n v="12.1"/>
    <n v="0.6"/>
    <n v="0.46666666666666667"/>
    <n v="0.8666666666666667"/>
    <n v="0.66666666666666663"/>
    <s v="INTJ"/>
    <x v="5"/>
    <x v="0"/>
  </r>
  <r>
    <n v="12116"/>
    <n v="12.1"/>
    <n v="0.46666666666666667"/>
    <n v="0.26666666666666661"/>
    <n v="0.8"/>
    <n v="0.19999999999999996"/>
    <s v="ENTP"/>
    <x v="5"/>
    <x v="0"/>
  </r>
  <r>
    <n v="12117"/>
    <n v="12.1"/>
    <n v="0.53333333333333333"/>
    <n v="0.66666666666666663"/>
    <n v="1"/>
    <n v="0.46666666666666667"/>
    <s v="ISTP"/>
    <x v="5"/>
    <x v="0"/>
  </r>
  <r>
    <n v="12118"/>
    <n v="12.1"/>
    <n v="0.66666666666666663"/>
    <n v="0.26666666666666661"/>
    <n v="0.8"/>
    <n v="0.6"/>
    <s v="INTJ"/>
    <x v="5"/>
    <x v="0"/>
  </r>
  <r>
    <n v="12119"/>
    <n v="12.1"/>
    <n v="0.93333333333333335"/>
    <n v="0.46666666666666667"/>
    <n v="0.8666666666666667"/>
    <n v="0.19999999999999996"/>
    <s v="INTP"/>
    <x v="5"/>
    <x v="0"/>
  </r>
  <r>
    <n v="12120"/>
    <n v="12.1"/>
    <n v="0.6"/>
    <n v="0.33333333333333326"/>
    <n v="0.53333333333333333"/>
    <n v="0.6"/>
    <s v="INTJ"/>
    <x v="5"/>
    <x v="0"/>
  </r>
  <r>
    <n v="12121"/>
    <n v="12.1"/>
    <n v="0.66666666666666663"/>
    <n v="0.33333333333333326"/>
    <n v="0.73333333333333328"/>
    <n v="0.8"/>
    <s v="INTJ"/>
    <x v="5"/>
    <x v="0"/>
  </r>
  <r>
    <n v="12122"/>
    <n v="12.1"/>
    <n v="0.73333333333333328"/>
    <n v="0.66666666666666663"/>
    <n v="0.8"/>
    <n v="0.46666666666666667"/>
    <s v="ISTP"/>
    <x v="5"/>
    <x v="0"/>
  </r>
  <r>
    <n v="12123"/>
    <n v="12.1"/>
    <n v="0.53333333333333333"/>
    <n v="0.53333333333333333"/>
    <n v="1"/>
    <n v="0.4"/>
    <s v="ISTP"/>
    <x v="5"/>
    <x v="0"/>
  </r>
  <r>
    <n v="12124"/>
    <n v="12.1"/>
    <n v="0.6"/>
    <n v="0.53333333333333333"/>
    <n v="0.8666666666666667"/>
    <n v="0.53333333333333333"/>
    <s v="ISTJ"/>
    <x v="5"/>
    <x v="0"/>
  </r>
  <r>
    <n v="12125"/>
    <n v="12.1"/>
    <n v="0.53333333333333333"/>
    <n v="0.53333333333333333"/>
    <n v="0.8"/>
    <n v="0.46666666666666667"/>
    <s v="ISTP"/>
    <x v="5"/>
    <x v="0"/>
  </r>
  <r>
    <n v="12126"/>
    <n v="12.1"/>
    <n v="0.8666666666666667"/>
    <n v="0.4"/>
    <n v="1"/>
    <n v="0.26666666666666661"/>
    <s v="INTP"/>
    <x v="5"/>
    <x v="0"/>
  </r>
  <r>
    <n v="12127"/>
    <n v="12.1"/>
    <n v="0.53333333333333333"/>
    <n v="0.6"/>
    <n v="0.66666666666666663"/>
    <n v="0.6"/>
    <s v="ISTJ"/>
    <x v="5"/>
    <x v="0"/>
  </r>
  <r>
    <n v="12128"/>
    <n v="12.1"/>
    <n v="0.73333333333333328"/>
    <n v="0.53333333333333333"/>
    <n v="0.73333333333333328"/>
    <n v="0.19999999999999996"/>
    <s v="ISTP"/>
    <x v="5"/>
    <x v="0"/>
  </r>
  <r>
    <n v="12129"/>
    <n v="12.1"/>
    <n v="0.66666666666666663"/>
    <n v="0.4"/>
    <n v="0.8"/>
    <n v="0.8"/>
    <s v="INTJ"/>
    <x v="5"/>
    <x v="0"/>
  </r>
  <r>
    <n v="12130"/>
    <n v="12.1"/>
    <n v="0.8"/>
    <n v="0.4"/>
    <n v="0.8666666666666667"/>
    <n v="0.26666666666666661"/>
    <s v="INTP"/>
    <x v="5"/>
    <x v="0"/>
  </r>
  <r>
    <n v="12131"/>
    <n v="12.1"/>
    <n v="0.46666666666666667"/>
    <n v="0.53333333333333333"/>
    <n v="0.8"/>
    <n v="0.46666666666666667"/>
    <s v="ESTP"/>
    <x v="5"/>
    <x v="0"/>
  </r>
  <r>
    <n v="12132"/>
    <n v="12.1"/>
    <n v="0.66666666666666663"/>
    <n v="0.6"/>
    <n v="0.93333333333333335"/>
    <n v="0.1333333333333333"/>
    <s v="ISTP"/>
    <x v="5"/>
    <x v="0"/>
  </r>
  <r>
    <n v="12133"/>
    <n v="12.1"/>
    <n v="0.46666666666666667"/>
    <n v="0.6"/>
    <n v="0.8"/>
    <n v="0.6"/>
    <s v="ESTJ"/>
    <x v="5"/>
    <x v="0"/>
  </r>
  <r>
    <n v="12134"/>
    <n v="12.1"/>
    <n v="0.66666666666666663"/>
    <n v="0.73333333333333328"/>
    <n v="0.73333333333333328"/>
    <n v="0.46666666666666667"/>
    <s v="ISTP"/>
    <x v="5"/>
    <x v="0"/>
  </r>
  <r>
    <n v="12135"/>
    <n v="12.1"/>
    <n v="0.73333333333333328"/>
    <n v="0.4"/>
    <n v="0.6"/>
    <n v="0.46666666666666667"/>
    <s v="INTP"/>
    <x v="5"/>
    <x v="0"/>
  </r>
  <r>
    <n v="12136"/>
    <n v="12.1"/>
    <n v="0.46666666666666667"/>
    <n v="0.4"/>
    <n v="0.8"/>
    <n v="0.53333333333333333"/>
    <s v="ENTJ"/>
    <x v="5"/>
    <x v="0"/>
  </r>
  <r>
    <n v="12201"/>
    <n v="12.2"/>
    <n v="0.66666666666666663"/>
    <n v="0.73333333333333328"/>
    <n v="0.73333333333333328"/>
    <n v="0.4"/>
    <s v="ISTP"/>
    <x v="5"/>
    <x v="1"/>
  </r>
  <r>
    <n v="12202"/>
    <n v="12.2"/>
    <n v="0.73333333333333328"/>
    <n v="0.46666666666666667"/>
    <n v="0.8666666666666667"/>
    <n v="0.46666666666666667"/>
    <s v="INTP"/>
    <x v="5"/>
    <x v="1"/>
  </r>
  <r>
    <n v="12203"/>
    <n v="12.2"/>
    <n v="0.93333333333333335"/>
    <n v="0.46666666666666667"/>
    <n v="0.6"/>
    <n v="0.6"/>
    <s v="INTJ"/>
    <x v="5"/>
    <x v="1"/>
  </r>
  <r>
    <n v="12204"/>
    <n v="12.2"/>
    <n v="0.26666666666666661"/>
    <n v="6.6666666666666652E-2"/>
    <n v="0.73333333333333328"/>
    <n v="0.53333333333333333"/>
    <s v="ENTJ"/>
    <x v="5"/>
    <x v="1"/>
  </r>
  <r>
    <n v="12205"/>
    <n v="12.2"/>
    <n v="0.66666666666666663"/>
    <n v="0.26666666666666661"/>
    <n v="0.73333333333333328"/>
    <n v="0.19999999999999996"/>
    <s v="INTP"/>
    <x v="5"/>
    <x v="1"/>
  </r>
  <r>
    <n v="12206"/>
    <n v="12.2"/>
    <n v="0.66666666666666663"/>
    <n v="0.1333333333333333"/>
    <n v="0.73333333333333328"/>
    <n v="0.73333333333333328"/>
    <s v="INTJ"/>
    <x v="5"/>
    <x v="1"/>
  </r>
  <r>
    <n v="12207"/>
    <n v="12.2"/>
    <n v="0.26666666666666661"/>
    <n v="0.4"/>
    <n v="0.93333333333333335"/>
    <n v="0.8"/>
    <s v="ENTJ"/>
    <x v="5"/>
    <x v="1"/>
  </r>
  <r>
    <n v="12208"/>
    <n v="12.2"/>
    <n v="0.33333333333333326"/>
    <n v="0.53333333333333333"/>
    <n v="0.46666666666666667"/>
    <n v="0.19999999999999996"/>
    <s v="ESFP"/>
    <x v="5"/>
    <x v="1"/>
  </r>
  <r>
    <n v="12209"/>
    <n v="12.2"/>
    <n v="1"/>
    <n v="0.6"/>
    <n v="0.6"/>
    <n v="0.53333333333333333"/>
    <s v="ISTJ"/>
    <x v="5"/>
    <x v="1"/>
  </r>
  <r>
    <n v="12210"/>
    <n v="12.2"/>
    <n v="0.8"/>
    <n v="0.53333333333333333"/>
    <n v="1"/>
    <n v="0.6"/>
    <s v="ISTJ"/>
    <x v="5"/>
    <x v="1"/>
  </r>
  <r>
    <n v="12211"/>
    <n v="12.2"/>
    <n v="0"/>
    <n v="0.4"/>
    <n v="0.6"/>
    <n v="0.19999999999999996"/>
    <s v="ENTP"/>
    <x v="5"/>
    <x v="1"/>
  </r>
  <r>
    <n v="12212"/>
    <n v="12.2"/>
    <n v="0.66666666666666663"/>
    <n v="0.33333333333333326"/>
    <n v="0.8666666666666667"/>
    <n v="0.8"/>
    <s v="INTJ"/>
    <x v="5"/>
    <x v="1"/>
  </r>
  <r>
    <n v="12213"/>
    <n v="12.2"/>
    <n v="0.8"/>
    <n v="0.33333333333333326"/>
    <n v="0.93333333333333335"/>
    <n v="0.6"/>
    <s v="INTJ"/>
    <x v="5"/>
    <x v="1"/>
  </r>
  <r>
    <n v="12214"/>
    <n v="12.2"/>
    <n v="0.93333333333333335"/>
    <n v="0.26666666666666661"/>
    <n v="0.93333333333333335"/>
    <n v="0.33333333333333326"/>
    <s v="INTP"/>
    <x v="5"/>
    <x v="1"/>
  </r>
  <r>
    <n v="12215"/>
    <n v="12.2"/>
    <n v="0.8666666666666667"/>
    <n v="0.46666666666666667"/>
    <n v="0.6"/>
    <n v="0.46666666666666667"/>
    <s v="INTP"/>
    <x v="5"/>
    <x v="1"/>
  </r>
  <r>
    <n v="12216"/>
    <n v="12.2"/>
    <n v="0.26666666666666661"/>
    <n v="0.46666666666666667"/>
    <n v="0.73333333333333328"/>
    <n v="0.4"/>
    <s v="ENTP"/>
    <x v="5"/>
    <x v="1"/>
  </r>
  <r>
    <n v="12217"/>
    <n v="12.2"/>
    <n v="0.33333333333333326"/>
    <n v="0.26666666666666661"/>
    <n v="0.6"/>
    <n v="0.4"/>
    <s v="ENTP"/>
    <x v="5"/>
    <x v="1"/>
  </r>
  <r>
    <n v="12218"/>
    <n v="12.2"/>
    <n v="0.93333333333333335"/>
    <n v="0.66666666666666663"/>
    <n v="0.66666666666666663"/>
    <n v="0.73333333333333328"/>
    <s v="ISTJ"/>
    <x v="5"/>
    <x v="1"/>
  </r>
  <r>
    <n v="12219"/>
    <n v="12.2"/>
    <n v="0.33333333333333326"/>
    <n v="0.66666666666666663"/>
    <n v="0.93333333333333335"/>
    <n v="0.53333333333333333"/>
    <s v="ESTJ"/>
    <x v="5"/>
    <x v="1"/>
  </r>
  <r>
    <n v="12220"/>
    <n v="12.2"/>
    <n v="0.8"/>
    <n v="0.33333333333333326"/>
    <n v="0.93333333333333335"/>
    <n v="0.1333333333333333"/>
    <s v="INTP"/>
    <x v="5"/>
    <x v="1"/>
  </r>
  <r>
    <n v="12221"/>
    <n v="12.2"/>
    <n v="1"/>
    <n v="0.4"/>
    <n v="1"/>
    <n v="0.8"/>
    <s v="INTJ"/>
    <x v="5"/>
    <x v="1"/>
  </r>
  <r>
    <n v="12222"/>
    <n v="12.2"/>
    <n v="0.4"/>
    <n v="0.8"/>
    <n v="0.53333333333333333"/>
    <n v="0"/>
    <s v="ESTP"/>
    <x v="5"/>
    <x v="1"/>
  </r>
  <r>
    <n v="12223"/>
    <n v="12.2"/>
    <n v="0.8"/>
    <n v="0.73333333333333328"/>
    <n v="0.8"/>
    <n v="0.4"/>
    <s v="ISTP"/>
    <x v="5"/>
    <x v="1"/>
  </r>
  <r>
    <n v="12224"/>
    <n v="12.2"/>
    <n v="1"/>
    <n v="0.66666666666666663"/>
    <n v="0.6"/>
    <n v="0.66666666666666663"/>
    <s v="ISTJ"/>
    <x v="5"/>
    <x v="1"/>
  </r>
  <r>
    <n v="12225"/>
    <n v="12.2"/>
    <n v="0.4"/>
    <n v="0.4"/>
    <n v="0.8666666666666667"/>
    <n v="0"/>
    <s v="ENTP"/>
    <x v="5"/>
    <x v="1"/>
  </r>
  <r>
    <n v="12226"/>
    <n v="12.2"/>
    <n v="0.4"/>
    <n v="0.73333333333333328"/>
    <n v="0.93333333333333335"/>
    <n v="0.33333333333333326"/>
    <s v="ESTP"/>
    <x v="5"/>
    <x v="1"/>
  </r>
  <r>
    <n v="12227"/>
    <n v="12.2"/>
    <n v="0.4"/>
    <n v="0.66666666666666663"/>
    <n v="0.73333333333333328"/>
    <n v="0.6"/>
    <s v="ESTJ"/>
    <x v="5"/>
    <x v="1"/>
  </r>
  <r>
    <n v="12228"/>
    <n v="12.2"/>
    <n v="0.6"/>
    <n v="0.26666666666666661"/>
    <n v="0.53333333333333333"/>
    <n v="0.66666666666666663"/>
    <s v="INTJ"/>
    <x v="5"/>
    <x v="1"/>
  </r>
  <r>
    <n v="12229"/>
    <n v="12.2"/>
    <n v="0.66666666666666663"/>
    <n v="0.66666666666666663"/>
    <n v="0.6"/>
    <n v="0.73333333333333328"/>
    <s v="ISTJ"/>
    <x v="5"/>
    <x v="1"/>
  </r>
  <r>
    <n v="12230"/>
    <n v="12.2"/>
    <n v="0.53333333333333333"/>
    <n v="0.93333333333333335"/>
    <n v="0.66666666666666663"/>
    <n v="0.46666666666666667"/>
    <s v="ISTP"/>
    <x v="5"/>
    <x v="1"/>
  </r>
  <r>
    <n v="12231"/>
    <n v="12.2"/>
    <n v="0.8"/>
    <n v="0.33333333333333326"/>
    <n v="0.93333333333333335"/>
    <n v="0.33333333333333326"/>
    <s v="INTP"/>
    <x v="5"/>
    <x v="1"/>
  </r>
  <r>
    <n v="12232"/>
    <n v="12.2"/>
    <n v="0.93333333333333335"/>
    <n v="0.66666666666666663"/>
    <n v="0.8666666666666667"/>
    <n v="0.1333333333333333"/>
    <s v="ISTP"/>
    <x v="5"/>
    <x v="1"/>
  </r>
  <r>
    <n v="12233"/>
    <n v="12.2"/>
    <n v="0.6"/>
    <n v="0.53333333333333333"/>
    <n v="0.33333333333333326"/>
    <n v="0.1333333333333333"/>
    <s v="ISFP"/>
    <x v="5"/>
    <x v="1"/>
  </r>
  <r>
    <n v="12234"/>
    <n v="12.2"/>
    <n v="0.8666666666666667"/>
    <n v="0.19999999999999996"/>
    <n v="1"/>
    <n v="0.33333333333333326"/>
    <s v="INTP"/>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DB8E60-0C7A-45E8-A8EC-DF4E095826DA}"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H3:L10" firstHeaderRow="0" firstDataRow="1" firstDataCol="1"/>
  <pivotFields count="9">
    <pivotField showAll="0"/>
    <pivotField numFmtId="49" showAll="0"/>
    <pivotField dataField="1" numFmtId="9" showAll="0"/>
    <pivotField dataField="1" numFmtId="9" showAll="0"/>
    <pivotField dataField="1" numFmtId="9" showAll="0"/>
    <pivotField dataField="1" numFmtId="9" showAll="0"/>
    <pivotField showAll="0"/>
    <pivotField axis="axisRow" numFmtId="1" showAll="0">
      <items count="7">
        <item x="3"/>
        <item x="2"/>
        <item x="1"/>
        <item x="0"/>
        <item x="4"/>
        <item x="5"/>
        <item t="default"/>
      </items>
    </pivotField>
    <pivotField showAll="0"/>
  </pivotFields>
  <rowFields count="1">
    <field x="7"/>
  </rowFields>
  <rowItems count="7">
    <i>
      <x/>
    </i>
    <i>
      <x v="1"/>
    </i>
    <i>
      <x v="2"/>
    </i>
    <i>
      <x v="3"/>
    </i>
    <i>
      <x v="4"/>
    </i>
    <i>
      <x v="5"/>
    </i>
    <i t="grand">
      <x/>
    </i>
  </rowItems>
  <colFields count="1">
    <field x="-2"/>
  </colFields>
  <colItems count="4">
    <i>
      <x/>
    </i>
    <i i="1">
      <x v="1"/>
    </i>
    <i i="2">
      <x v="2"/>
    </i>
    <i i="3">
      <x v="3"/>
    </i>
  </colItems>
  <dataFields count="4">
    <dataField name="Average of I-E" fld="2" subtotal="average" baseField="7" baseItem="0" numFmtId="9"/>
    <dataField name="Average of S-N" fld="3" subtotal="average" baseField="0" baseItem="0" numFmtId="9"/>
    <dataField name="Average of T-F" fld="4" subtotal="average" baseField="7" baseItem="0" numFmtId="9"/>
    <dataField name="Average of J-P" fld="5" subtotal="average" baseField="7" baseItem="0" numFmtId="9"/>
  </dataFields>
  <formats count="6">
    <format dxfId="23">
      <pivotArea type="all" dataOnly="0" outline="0" fieldPosition="0"/>
    </format>
    <format dxfId="22">
      <pivotArea outline="0" collapsedLevelsAreSubtotals="1" fieldPosition="0"/>
    </format>
    <format dxfId="21">
      <pivotArea field="7" type="button" dataOnly="0" labelOnly="1" outline="0" axis="axisRow" fieldPosition="0"/>
    </format>
    <format dxfId="20">
      <pivotArea dataOnly="0" labelOnly="1" fieldPosition="0">
        <references count="1">
          <reference field="7" count="0"/>
        </references>
      </pivotArea>
    </format>
    <format dxfId="19">
      <pivotArea dataOnly="0" labelOnly="1" grandRow="1" outline="0" fieldPosition="0"/>
    </format>
    <format dxfId="18">
      <pivotArea dataOnly="0" labelOnly="1" outline="0" fieldPosition="0">
        <references count="1">
          <reference field="4294967294" count="4">
            <x v="0"/>
            <x v="1"/>
            <x v="2"/>
            <x v="3"/>
          </reference>
        </references>
      </pivotArea>
    </format>
  </formats>
  <conditionalFormats count="1">
    <conditionalFormat priority="1">
      <pivotAreas count="1">
        <pivotArea type="data" collapsedLevelsAreSubtotals="1" fieldPosition="0">
          <references count="1">
            <reference field="7" count="6">
              <x v="0"/>
              <x v="1"/>
              <x v="2"/>
              <x v="3"/>
              <x v="4"/>
              <x v="5"/>
            </reference>
          </references>
        </pivotArea>
      </pivotAreas>
    </conditionalFormat>
  </conditional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Dark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908BC0-0421-441C-8331-232B14F1FA2C}"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B3:F22" firstHeaderRow="0" firstDataRow="1" firstDataCol="1"/>
  <pivotFields count="9">
    <pivotField showAll="0"/>
    <pivotField numFmtId="49" multipleItemSelectionAllowed="1" showAll="0"/>
    <pivotField dataField="1" numFmtId="9" showAll="0"/>
    <pivotField dataField="1" numFmtId="9" showAll="0"/>
    <pivotField dataField="1" numFmtId="9" showAll="0"/>
    <pivotField dataField="1" numFmtId="9" showAll="0"/>
    <pivotField showAll="0"/>
    <pivotField axis="axisRow" showAll="0">
      <items count="7">
        <item x="3"/>
        <item x="2"/>
        <item x="1"/>
        <item x="0"/>
        <item x="4"/>
        <item x="5"/>
        <item t="default"/>
      </items>
    </pivotField>
    <pivotField axis="axisRow" showAll="0">
      <items count="3">
        <item x="0"/>
        <item x="1"/>
        <item t="default"/>
      </items>
    </pivotField>
  </pivotFields>
  <rowFields count="2">
    <field x="7"/>
    <field x="8"/>
  </rowFields>
  <rowItems count="19">
    <i>
      <x/>
    </i>
    <i r="1">
      <x/>
    </i>
    <i r="1">
      <x v="1"/>
    </i>
    <i>
      <x v="1"/>
    </i>
    <i r="1">
      <x/>
    </i>
    <i r="1">
      <x v="1"/>
    </i>
    <i>
      <x v="2"/>
    </i>
    <i r="1">
      <x/>
    </i>
    <i r="1">
      <x v="1"/>
    </i>
    <i>
      <x v="3"/>
    </i>
    <i r="1">
      <x/>
    </i>
    <i r="1">
      <x v="1"/>
    </i>
    <i>
      <x v="4"/>
    </i>
    <i r="1">
      <x/>
    </i>
    <i r="1">
      <x v="1"/>
    </i>
    <i>
      <x v="5"/>
    </i>
    <i r="1">
      <x/>
    </i>
    <i r="1">
      <x v="1"/>
    </i>
    <i t="grand">
      <x/>
    </i>
  </rowItems>
  <colFields count="1">
    <field x="-2"/>
  </colFields>
  <colItems count="4">
    <i>
      <x/>
    </i>
    <i i="1">
      <x v="1"/>
    </i>
    <i i="2">
      <x v="2"/>
    </i>
    <i i="3">
      <x v="3"/>
    </i>
  </colItems>
  <dataFields count="4">
    <dataField name="Average of I-E" fld="2" subtotal="average" baseField="7" baseItem="1" numFmtId="9"/>
    <dataField name="Average of S-N" fld="3" subtotal="average" baseField="1" baseItem="7" numFmtId="9"/>
    <dataField name="Average of T-F" fld="4" subtotal="average" baseField="1" baseItem="7" numFmtId="9"/>
    <dataField name="Average of J-P" fld="5" subtotal="average" baseField="1" baseItem="7" numFmtId="9"/>
  </dataFields>
  <formats count="12">
    <format dxfId="35">
      <pivotArea type="all" dataOnly="0" outline="0" fieldPosition="0"/>
    </format>
    <format dxfId="34">
      <pivotArea outline="0" collapsedLevelsAreSubtotals="1" fieldPosition="0"/>
    </format>
    <format dxfId="33">
      <pivotArea field="7" type="button" dataOnly="0" labelOnly="1" outline="0" axis="axisRow" fieldPosition="0"/>
    </format>
    <format dxfId="32">
      <pivotArea dataOnly="0" labelOnly="1" fieldPosition="0">
        <references count="1">
          <reference field="7" count="0"/>
        </references>
      </pivotArea>
    </format>
    <format dxfId="31">
      <pivotArea dataOnly="0" labelOnly="1" grandRow="1" outline="0" fieldPosition="0"/>
    </format>
    <format dxfId="30">
      <pivotArea dataOnly="0" labelOnly="1" fieldPosition="0">
        <references count="2">
          <reference field="7" count="1" selected="0">
            <x v="0"/>
          </reference>
          <reference field="8" count="0"/>
        </references>
      </pivotArea>
    </format>
    <format dxfId="29">
      <pivotArea dataOnly="0" labelOnly="1" fieldPosition="0">
        <references count="2">
          <reference field="7" count="1" selected="0">
            <x v="1"/>
          </reference>
          <reference field="8" count="0"/>
        </references>
      </pivotArea>
    </format>
    <format dxfId="28">
      <pivotArea dataOnly="0" labelOnly="1" fieldPosition="0">
        <references count="2">
          <reference field="7" count="1" selected="0">
            <x v="2"/>
          </reference>
          <reference field="8" count="0"/>
        </references>
      </pivotArea>
    </format>
    <format dxfId="27">
      <pivotArea dataOnly="0" labelOnly="1" fieldPosition="0">
        <references count="2">
          <reference field="7" count="1" selected="0">
            <x v="3"/>
          </reference>
          <reference field="8" count="0"/>
        </references>
      </pivotArea>
    </format>
    <format dxfId="26">
      <pivotArea dataOnly="0" labelOnly="1" fieldPosition="0">
        <references count="2">
          <reference field="7" count="1" selected="0">
            <x v="4"/>
          </reference>
          <reference field="8" count="0"/>
        </references>
      </pivotArea>
    </format>
    <format dxfId="25">
      <pivotArea dataOnly="0" labelOnly="1" fieldPosition="0">
        <references count="2">
          <reference field="7" count="1" selected="0">
            <x v="5"/>
          </reference>
          <reference field="8" count="0"/>
        </references>
      </pivotArea>
    </format>
    <format dxfId="24">
      <pivotArea dataOnly="0" labelOnly="1" outline="0" fieldPosition="0">
        <references count="1">
          <reference field="4294967294" count="4">
            <x v="0"/>
            <x v="1"/>
            <x v="2"/>
            <x v="3"/>
          </reference>
        </references>
      </pivotArea>
    </format>
  </formats>
  <conditionalFormats count="1">
    <conditionalFormat priority="3">
      <pivotAreas count="6">
        <pivotArea type="data" collapsedLevelsAreSubtotals="1" fieldPosition="0">
          <references count="2">
            <reference field="7" count="1" selected="0">
              <x v="0"/>
            </reference>
            <reference field="8" count="2">
              <x v="0"/>
              <x v="1"/>
            </reference>
          </references>
        </pivotArea>
        <pivotArea type="data" collapsedLevelsAreSubtotals="1" fieldPosition="0">
          <references count="2">
            <reference field="7" count="1" selected="0">
              <x v="1"/>
            </reference>
            <reference field="8" count="2">
              <x v="0"/>
              <x v="1"/>
            </reference>
          </references>
        </pivotArea>
        <pivotArea type="data" collapsedLevelsAreSubtotals="1" fieldPosition="0">
          <references count="2">
            <reference field="7" count="1" selected="0">
              <x v="2"/>
            </reference>
            <reference field="8" count="2">
              <x v="0"/>
              <x v="1"/>
            </reference>
          </references>
        </pivotArea>
        <pivotArea type="data" collapsedLevelsAreSubtotals="1" fieldPosition="0">
          <references count="2">
            <reference field="7" count="1" selected="0">
              <x v="3"/>
            </reference>
            <reference field="8" count="2">
              <x v="0"/>
              <x v="1"/>
            </reference>
          </references>
        </pivotArea>
        <pivotArea type="data" collapsedLevelsAreSubtotals="1" fieldPosition="0">
          <references count="2">
            <reference field="7" count="1" selected="0">
              <x v="4"/>
            </reference>
            <reference field="8" count="2">
              <x v="0"/>
              <x v="1"/>
            </reference>
          </references>
        </pivotArea>
        <pivotArea type="data" collapsedLevelsAreSubtotals="1" fieldPosition="0">
          <references count="2">
            <reference field="7" count="1" selected="0">
              <x v="5"/>
            </reference>
            <reference field="8" count="2">
              <x v="0"/>
              <x v="1"/>
            </reference>
          </references>
        </pivotArea>
      </pivotAreas>
    </conditionalFormat>
  </conditionalFormats>
  <chartFormats count="8">
    <chartFormat chart="18" format="58" series="1">
      <pivotArea type="data" outline="0" fieldPosition="0">
        <references count="1">
          <reference field="4294967294" count="1" selected="0">
            <x v="0"/>
          </reference>
        </references>
      </pivotArea>
    </chartFormat>
    <chartFormat chart="18" format="59" series="1">
      <pivotArea type="data" outline="0" fieldPosition="0">
        <references count="1">
          <reference field="4294967294" count="1" selected="0">
            <x v="1"/>
          </reference>
        </references>
      </pivotArea>
    </chartFormat>
    <chartFormat chart="18" format="60" series="1">
      <pivotArea type="data" outline="0" fieldPosition="0">
        <references count="1">
          <reference field="4294967294" count="1" selected="0">
            <x v="2"/>
          </reference>
        </references>
      </pivotArea>
    </chartFormat>
    <chartFormat chart="18" format="61" series="1">
      <pivotArea type="data" outline="0" fieldPosition="0">
        <references count="1">
          <reference field="4294967294" count="1" selected="0">
            <x v="3"/>
          </reference>
        </references>
      </pivotArea>
    </chartFormat>
    <chartFormat chart="23" format="66" series="1">
      <pivotArea type="data" outline="0" fieldPosition="0">
        <references count="1">
          <reference field="4294967294" count="1" selected="0">
            <x v="0"/>
          </reference>
        </references>
      </pivotArea>
    </chartFormat>
    <chartFormat chart="23" format="67" series="1">
      <pivotArea type="data" outline="0" fieldPosition="0">
        <references count="1">
          <reference field="4294967294" count="1" selected="0">
            <x v="1"/>
          </reference>
        </references>
      </pivotArea>
    </chartFormat>
    <chartFormat chart="23" format="68" series="1">
      <pivotArea type="data" outline="0" fieldPosition="0">
        <references count="1">
          <reference field="4294967294" count="1" selected="0">
            <x v="2"/>
          </reference>
        </references>
      </pivotArea>
    </chartFormat>
    <chartFormat chart="23" format="69" series="1">
      <pivotArea type="data" outline="0" fieldPosition="0">
        <references count="1">
          <reference field="4294967294" count="1" selected="0">
            <x v="3"/>
          </reference>
        </references>
      </pivotArea>
    </chartFormat>
  </chartFormats>
  <pivotTableStyleInfo name="PivotStyleDark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C63A6CE-83C1-4D09-AC9A-A51918737F0D}" name="DataTable1" displayName="DataTable1" ref="B2:D62" totalsRowShown="0" headerRowDxfId="61" headerRowBorderDxfId="60" tableBorderDxfId="59" totalsRowBorderDxfId="58">
  <autoFilter ref="B2:D62" xr:uid="{2C63A6CE-83C1-4D09-AC9A-A51918737F0D}"/>
  <tableColumns count="3">
    <tableColumn id="1" xr3:uid="{8C1FEDB6-CEDA-4DF1-9694-0876C6CCFD59}" name="Q-Num" dataDxfId="57"/>
    <tableColumn id="2" xr3:uid="{456B5382-5F15-4B87-92BB-996B9C707E00}" name="الف" dataDxfId="56"/>
    <tableColumn id="3" xr3:uid="{250940E9-0ECE-4415-9868-FCB89309C3D8}" name="ب" dataDxfId="55"/>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C4913E-4A87-4139-A783-547A1A684767}" name="Table1" displayName="Table1" ref="A1:I413" headerRowDxfId="54" dataDxfId="53" totalsRowDxfId="52">
  <autoFilter ref="A1:I413" xr:uid="{BEC4913E-4A87-4139-A783-547A1A684767}"/>
  <tableColumns count="9">
    <tableColumn id="1" xr3:uid="{DC1F58AC-3F11-4C0D-A248-DB6FEA715FAE}" name="Name" totalsRowFunction="count" dataDxfId="51"/>
    <tableColumn id="2" xr3:uid="{2F656FD8-1AF3-40C6-9563-B5CF305E1A25}" name="Class" dataDxfId="50"/>
    <tableColumn id="3" xr3:uid="{388DD958-C540-4D54-BA44-B4DDDEC2C7CA}" name="I-E" totalsRowFunction="average" dataDxfId="49" totalsRowDxfId="48"/>
    <tableColumn id="4" xr3:uid="{4BE54995-A464-4B74-AD28-84448D028B34}" name="S-N" totalsRowFunction="average" dataDxfId="47" totalsRowDxfId="46"/>
    <tableColumn id="5" xr3:uid="{29834386-5DD9-4354-835D-0E81DA8DE569}" name="T-F" totalsRowFunction="average" dataDxfId="45" totalsRowDxfId="44"/>
    <tableColumn id="6" xr3:uid="{01464A4D-1FF4-4261-A275-6A0E2B504BA1}" name="J-P" totalsRowFunction="average" dataDxfId="43" totalsRowDxfId="42"/>
    <tableColumn id="7" xr3:uid="{8D8290AD-BD2F-42A6-80B3-7FD994432756}" name="Type" dataDxfId="41" totalsRowDxfId="40">
      <calculatedColumnFormula>IF(Table1[[#This Row],[I-E]]&gt;0.5,"I","E") &amp; IF(Table1[[#This Row],[S-N]]&gt;0.5,"S","N") &amp; IF(Table1[[#This Row],[T-F]]&gt;0.5,"T","F") &amp; IF(Table1[[#This Row],[J-P]]&gt;0.5,"J","P")</calculatedColumnFormula>
    </tableColumn>
    <tableColumn id="8" xr3:uid="{492AE5DC-A85B-4BB6-8D6D-A133E4E9C27F}" name="Grade" dataDxfId="39" totalsRowDxfId="38">
      <calculatedColumnFormula>VALUE(LEFT(Table1[[#This Row],[Class]], FIND(".",Table1[[#This Row],[Class]])-1))</calculatedColumnFormula>
    </tableColumn>
    <tableColumn id="9" xr3:uid="{2DBAA93A-9702-4CB4-ADD1-489D30C0A512}" name="Section" dataDxfId="37" totalsRowDxfId="36">
      <calculatedColumnFormula>VALUE(RIGHT(Table1[[#This Row],[Class]],LEN(Table1[[#This Row],[Class]]) - FIND(".",Table1[[#This Row],[Class]])))</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22"/>
  <sheetViews>
    <sheetView showGridLines="0" showRowColHeaders="0" rightToLeft="1" tabSelected="1" zoomScaleNormal="100" workbookViewId="0">
      <selection activeCell="B2" sqref="B2"/>
    </sheetView>
  </sheetViews>
  <sheetFormatPr defaultColWidth="9.109375" defaultRowHeight="18.600000000000001" x14ac:dyDescent="0.25"/>
  <cols>
    <col min="1" max="1" width="19" style="57" customWidth="1"/>
    <col min="2" max="2" width="23.44140625" style="63" customWidth="1"/>
    <col min="3" max="3" width="4.6640625" style="77" customWidth="1"/>
    <col min="4" max="4" width="111.88671875" style="57" customWidth="1"/>
    <col min="5" max="5" width="2.5546875" style="57" customWidth="1"/>
    <col min="6" max="6" width="7.33203125" style="63" customWidth="1"/>
    <col min="7" max="7" width="9.109375" style="57" customWidth="1"/>
    <col min="8" max="16384" width="9.109375" style="57"/>
  </cols>
  <sheetData>
    <row r="1" spans="1:18" ht="60.75" customHeight="1" thickBot="1" x14ac:dyDescent="0.3">
      <c r="A1" s="25"/>
      <c r="B1" s="27"/>
      <c r="C1" s="114" t="s">
        <v>11</v>
      </c>
      <c r="D1" s="114"/>
      <c r="E1" s="114"/>
      <c r="F1" s="114"/>
      <c r="G1" s="27"/>
      <c r="H1" s="25"/>
      <c r="I1" s="25"/>
      <c r="J1" s="25"/>
      <c r="K1" s="25"/>
      <c r="L1" s="25"/>
      <c r="M1" s="25"/>
      <c r="N1" s="25"/>
      <c r="O1" s="25"/>
      <c r="P1" s="25"/>
      <c r="Q1" s="25"/>
      <c r="R1" s="25"/>
    </row>
    <row r="2" spans="1:18" ht="30" customHeight="1" thickTop="1" x14ac:dyDescent="0.25">
      <c r="A2" s="66" t="s">
        <v>186</v>
      </c>
      <c r="B2" s="67"/>
      <c r="C2" s="72"/>
      <c r="D2" s="80"/>
      <c r="E2" s="52"/>
      <c r="F2" s="52"/>
      <c r="G2" s="27"/>
      <c r="H2" s="25"/>
      <c r="I2" s="25"/>
      <c r="J2" s="25"/>
      <c r="K2" s="25"/>
      <c r="L2" s="25"/>
      <c r="M2" s="25"/>
      <c r="N2" s="25"/>
      <c r="O2" s="25"/>
      <c r="P2" s="25"/>
      <c r="Q2" s="25"/>
      <c r="R2" s="25"/>
    </row>
    <row r="3" spans="1:18" ht="30" customHeight="1" x14ac:dyDescent="0.25">
      <c r="A3" s="68" t="s">
        <v>171</v>
      </c>
      <c r="B3" s="78"/>
      <c r="C3" s="72"/>
      <c r="D3" s="79"/>
      <c r="E3" s="52"/>
      <c r="F3" s="52"/>
      <c r="G3" s="27"/>
      <c r="H3" s="25"/>
      <c r="I3" s="25"/>
      <c r="J3" s="25"/>
      <c r="K3" s="25"/>
      <c r="L3" s="25"/>
      <c r="M3" s="25"/>
      <c r="N3" s="25"/>
      <c r="O3" s="25"/>
      <c r="P3" s="25"/>
      <c r="Q3" s="25"/>
      <c r="R3" s="25"/>
    </row>
    <row r="4" spans="1:18" ht="30" customHeight="1" x14ac:dyDescent="0.25">
      <c r="A4" s="68" t="s">
        <v>187</v>
      </c>
      <c r="B4" s="69"/>
      <c r="C4" s="72"/>
      <c r="D4" s="89">
        <f ca="1">NOW()</f>
        <v>46107.690666782408</v>
      </c>
      <c r="E4" s="52"/>
      <c r="F4" s="52"/>
      <c r="G4" s="27"/>
      <c r="H4" s="25"/>
      <c r="I4" s="25"/>
      <c r="J4" s="25"/>
      <c r="K4" s="25"/>
      <c r="L4" s="25"/>
      <c r="M4" s="25"/>
      <c r="N4" s="25"/>
      <c r="O4" s="25"/>
      <c r="P4" s="25"/>
      <c r="Q4" s="25"/>
      <c r="R4" s="25"/>
    </row>
    <row r="5" spans="1:18" ht="30" customHeight="1" thickBot="1" x14ac:dyDescent="0.3">
      <c r="A5" s="70" t="s">
        <v>172</v>
      </c>
      <c r="B5" s="71"/>
      <c r="C5" s="72"/>
      <c r="D5" s="90">
        <f ca="1">NOW()</f>
        <v>46107.690666782408</v>
      </c>
      <c r="E5" s="52"/>
      <c r="F5" s="52"/>
      <c r="G5" s="27"/>
      <c r="H5" s="25"/>
      <c r="I5" s="25"/>
      <c r="J5" s="25"/>
      <c r="K5" s="25"/>
      <c r="L5" s="25"/>
      <c r="M5" s="25"/>
      <c r="N5" s="25"/>
      <c r="O5" s="25"/>
      <c r="P5" s="25"/>
      <c r="Q5" s="25"/>
      <c r="R5" s="25"/>
    </row>
    <row r="6" spans="1:18" ht="77.400000000000006" customHeight="1" thickTop="1" x14ac:dyDescent="0.25">
      <c r="A6" s="25"/>
      <c r="B6" s="25"/>
      <c r="C6" s="116" t="s">
        <v>177</v>
      </c>
      <c r="D6" s="116"/>
      <c r="E6" s="115"/>
      <c r="F6" s="29" t="s">
        <v>10</v>
      </c>
      <c r="G6" s="27"/>
      <c r="H6" s="25"/>
      <c r="I6" s="25"/>
      <c r="J6" s="25"/>
      <c r="K6" s="25"/>
      <c r="L6" s="25"/>
      <c r="M6" s="25"/>
      <c r="N6" s="25"/>
      <c r="O6" s="25"/>
      <c r="P6" s="25"/>
      <c r="Q6" s="25"/>
      <c r="R6" s="25"/>
    </row>
    <row r="7" spans="1:18" s="58" customFormat="1" ht="18" customHeight="1" x14ac:dyDescent="0.25">
      <c r="A7" s="22"/>
      <c r="B7" s="64"/>
      <c r="C7" s="73"/>
      <c r="D7" s="23"/>
      <c r="E7" s="115"/>
      <c r="F7" s="28"/>
      <c r="G7" s="27"/>
      <c r="H7" s="22"/>
      <c r="I7" s="22"/>
      <c r="J7" s="22"/>
      <c r="K7" s="22"/>
      <c r="L7" s="22"/>
      <c r="M7" s="22"/>
      <c r="N7" s="22"/>
      <c r="O7" s="22"/>
      <c r="P7" s="22"/>
      <c r="Q7" s="22"/>
      <c r="R7" s="22"/>
    </row>
    <row r="8" spans="1:18" ht="21.6" x14ac:dyDescent="0.25">
      <c r="A8" s="25"/>
      <c r="B8" s="27"/>
      <c r="C8" s="117">
        <v>1</v>
      </c>
      <c r="D8" s="7" t="s">
        <v>49</v>
      </c>
      <c r="E8" s="115"/>
      <c r="F8" s="51"/>
      <c r="G8" s="27"/>
      <c r="H8" s="25"/>
      <c r="I8" s="25"/>
      <c r="J8" s="25"/>
      <c r="K8" s="25"/>
      <c r="L8" s="25"/>
      <c r="M8" s="25"/>
      <c r="N8" s="25"/>
      <c r="O8" s="25"/>
      <c r="P8" s="25"/>
      <c r="Q8" s="25"/>
      <c r="R8" s="25"/>
    </row>
    <row r="9" spans="1:18" ht="21.6" x14ac:dyDescent="0.25">
      <c r="A9" s="25"/>
      <c r="B9" s="27"/>
      <c r="C9" s="118"/>
      <c r="D9" s="7" t="s">
        <v>50</v>
      </c>
      <c r="E9" s="115"/>
      <c r="F9" s="26"/>
      <c r="G9" s="27"/>
      <c r="H9" s="25"/>
      <c r="I9" s="25"/>
      <c r="J9" s="25"/>
      <c r="K9" s="25"/>
      <c r="L9" s="25"/>
      <c r="M9" s="25"/>
      <c r="N9" s="25"/>
      <c r="O9" s="25"/>
      <c r="P9" s="25"/>
      <c r="Q9" s="25"/>
      <c r="R9" s="25"/>
    </row>
    <row r="10" spans="1:18" ht="21.6" x14ac:dyDescent="0.25">
      <c r="A10" s="25"/>
      <c r="B10" s="27"/>
      <c r="C10" s="74"/>
      <c r="D10" s="24"/>
      <c r="E10" s="115"/>
      <c r="F10" s="27"/>
      <c r="G10" s="27"/>
      <c r="H10" s="25"/>
      <c r="I10" s="25"/>
      <c r="J10" s="25"/>
      <c r="K10" s="25"/>
      <c r="L10" s="25"/>
      <c r="M10" s="25"/>
      <c r="N10" s="25"/>
      <c r="O10" s="25"/>
      <c r="P10" s="25"/>
      <c r="Q10" s="25"/>
      <c r="R10" s="25"/>
    </row>
    <row r="11" spans="1:18" ht="21.6" x14ac:dyDescent="0.25">
      <c r="A11" s="25"/>
      <c r="B11" s="27"/>
      <c r="C11" s="117">
        <v>2</v>
      </c>
      <c r="D11" s="7" t="s">
        <v>51</v>
      </c>
      <c r="E11" s="115"/>
      <c r="F11" s="26"/>
      <c r="G11" s="27"/>
      <c r="H11" s="25"/>
      <c r="I11" s="25"/>
      <c r="J11" s="25"/>
      <c r="K11" s="25"/>
      <c r="L11" s="25"/>
      <c r="M11" s="25"/>
      <c r="N11" s="25"/>
      <c r="O11" s="25"/>
      <c r="P11" s="25"/>
      <c r="Q11" s="25"/>
      <c r="R11" s="25"/>
    </row>
    <row r="12" spans="1:18" ht="21.6" x14ac:dyDescent="0.25">
      <c r="A12" s="25"/>
      <c r="B12" s="27"/>
      <c r="C12" s="118"/>
      <c r="D12" s="7" t="s">
        <v>52</v>
      </c>
      <c r="E12" s="115"/>
      <c r="F12" s="26"/>
      <c r="G12" s="27"/>
      <c r="H12" s="25"/>
      <c r="I12" s="25"/>
      <c r="J12" s="25"/>
      <c r="K12" s="25"/>
      <c r="L12" s="25"/>
      <c r="M12" s="25"/>
      <c r="N12" s="25"/>
      <c r="O12" s="25"/>
      <c r="P12" s="25"/>
      <c r="Q12" s="25"/>
      <c r="R12" s="25"/>
    </row>
    <row r="13" spans="1:18" ht="21.6" x14ac:dyDescent="0.25">
      <c r="A13" s="25"/>
      <c r="B13" s="27"/>
      <c r="C13" s="75"/>
      <c r="D13" s="24"/>
      <c r="E13" s="115"/>
      <c r="F13" s="27"/>
      <c r="G13" s="27"/>
      <c r="H13" s="25"/>
      <c r="I13" s="25"/>
      <c r="J13" s="25"/>
      <c r="K13" s="25"/>
      <c r="L13" s="25"/>
      <c r="M13" s="25"/>
      <c r="N13" s="25"/>
      <c r="O13" s="25"/>
      <c r="P13" s="25"/>
      <c r="Q13" s="25"/>
      <c r="R13" s="25"/>
    </row>
    <row r="14" spans="1:18" ht="21.6" x14ac:dyDescent="0.25">
      <c r="A14" s="25"/>
      <c r="B14" s="27"/>
      <c r="C14" s="113">
        <v>3</v>
      </c>
      <c r="D14" s="7" t="s">
        <v>53</v>
      </c>
      <c r="E14" s="115"/>
      <c r="F14" s="26"/>
      <c r="G14" s="27"/>
      <c r="H14" s="25"/>
      <c r="I14" s="25"/>
      <c r="J14" s="25"/>
      <c r="K14" s="25"/>
      <c r="L14" s="25"/>
      <c r="M14" s="25"/>
      <c r="N14" s="25"/>
      <c r="O14" s="25"/>
      <c r="P14" s="25"/>
      <c r="Q14" s="25"/>
      <c r="R14" s="25"/>
    </row>
    <row r="15" spans="1:18" ht="21.6" x14ac:dyDescent="0.25">
      <c r="A15" s="25"/>
      <c r="B15" s="27"/>
      <c r="C15" s="113"/>
      <c r="D15" s="7" t="s">
        <v>54</v>
      </c>
      <c r="E15" s="115"/>
      <c r="F15" s="26"/>
      <c r="G15" s="27"/>
      <c r="H15" s="25"/>
      <c r="I15" s="25"/>
      <c r="J15" s="25"/>
      <c r="K15" s="25"/>
      <c r="L15" s="25"/>
      <c r="M15" s="25"/>
      <c r="N15" s="25"/>
      <c r="O15" s="25"/>
      <c r="P15" s="25"/>
      <c r="Q15" s="25"/>
      <c r="R15" s="25"/>
    </row>
    <row r="16" spans="1:18" ht="21.6" x14ac:dyDescent="0.25">
      <c r="A16" s="25"/>
      <c r="B16" s="27"/>
      <c r="C16" s="75"/>
      <c r="D16" s="24"/>
      <c r="E16" s="115"/>
      <c r="F16" s="27"/>
      <c r="G16" s="27"/>
      <c r="H16" s="25"/>
      <c r="I16" s="25"/>
      <c r="J16" s="25"/>
      <c r="K16" s="25"/>
      <c r="L16" s="25"/>
      <c r="M16" s="25"/>
      <c r="N16" s="25"/>
      <c r="O16" s="25"/>
      <c r="P16" s="25"/>
      <c r="Q16" s="25"/>
      <c r="R16" s="25"/>
    </row>
    <row r="17" spans="1:54" ht="21.6" x14ac:dyDescent="0.25">
      <c r="A17" s="25"/>
      <c r="B17" s="27"/>
      <c r="C17" s="113">
        <v>4</v>
      </c>
      <c r="D17" s="7" t="s">
        <v>55</v>
      </c>
      <c r="E17" s="115"/>
      <c r="F17" s="26"/>
      <c r="G17" s="27"/>
      <c r="H17" s="25"/>
      <c r="I17" s="25"/>
      <c r="J17" s="25"/>
      <c r="K17" s="25"/>
      <c r="L17" s="25"/>
      <c r="M17" s="25"/>
      <c r="N17" s="25"/>
      <c r="O17" s="25"/>
      <c r="P17" s="25"/>
      <c r="Q17" s="25"/>
      <c r="R17" s="25"/>
    </row>
    <row r="18" spans="1:54" ht="21.6" x14ac:dyDescent="0.25">
      <c r="A18" s="25"/>
      <c r="B18" s="27"/>
      <c r="C18" s="113"/>
      <c r="D18" s="7" t="s">
        <v>56</v>
      </c>
      <c r="E18" s="115"/>
      <c r="F18" s="26"/>
      <c r="G18" s="27"/>
      <c r="H18" s="25"/>
      <c r="I18" s="25"/>
      <c r="J18" s="25"/>
      <c r="K18" s="25"/>
      <c r="L18" s="25"/>
      <c r="M18" s="25"/>
      <c r="N18" s="25"/>
      <c r="O18" s="25"/>
      <c r="P18" s="25"/>
      <c r="Q18" s="25"/>
      <c r="R18" s="25"/>
    </row>
    <row r="19" spans="1:54" ht="21.6" x14ac:dyDescent="0.25">
      <c r="A19" s="25"/>
      <c r="B19" s="27"/>
      <c r="C19" s="75"/>
      <c r="D19" s="24"/>
      <c r="E19" s="115"/>
      <c r="F19" s="27"/>
      <c r="G19" s="27"/>
      <c r="H19" s="25"/>
      <c r="I19" s="25"/>
      <c r="J19" s="25"/>
      <c r="K19" s="25"/>
      <c r="L19" s="25"/>
      <c r="M19" s="25"/>
      <c r="N19" s="25"/>
      <c r="O19" s="25"/>
      <c r="P19" s="25"/>
      <c r="Q19" s="25"/>
      <c r="R19" s="25"/>
    </row>
    <row r="20" spans="1:54" ht="21.6" x14ac:dyDescent="0.25">
      <c r="A20" s="25"/>
      <c r="B20" s="27"/>
      <c r="C20" s="113">
        <v>5</v>
      </c>
      <c r="D20" s="7" t="s">
        <v>57</v>
      </c>
      <c r="E20" s="115"/>
      <c r="F20" s="26"/>
      <c r="G20" s="27"/>
      <c r="H20" s="25"/>
      <c r="I20" s="25"/>
      <c r="J20" s="25"/>
      <c r="K20" s="25"/>
      <c r="L20" s="25"/>
      <c r="M20" s="25"/>
      <c r="N20" s="25"/>
      <c r="O20" s="25"/>
      <c r="P20" s="25"/>
      <c r="Q20" s="25"/>
      <c r="R20" s="25"/>
    </row>
    <row r="21" spans="1:54" ht="21.6" x14ac:dyDescent="0.25">
      <c r="A21" s="25"/>
      <c r="B21" s="27"/>
      <c r="C21" s="113"/>
      <c r="D21" s="7" t="s">
        <v>58</v>
      </c>
      <c r="E21" s="115"/>
      <c r="F21" s="26"/>
      <c r="G21" s="27"/>
      <c r="H21" s="25"/>
      <c r="I21" s="25"/>
      <c r="J21" s="25"/>
      <c r="K21" s="25"/>
      <c r="L21" s="25"/>
      <c r="M21" s="25"/>
      <c r="N21" s="25"/>
      <c r="O21" s="25"/>
      <c r="P21" s="25"/>
      <c r="Q21" s="25"/>
      <c r="R21" s="25"/>
    </row>
    <row r="22" spans="1:54" ht="21.6" x14ac:dyDescent="0.25">
      <c r="A22" s="25"/>
      <c r="B22" s="27"/>
      <c r="C22" s="75"/>
      <c r="D22" s="24"/>
      <c r="E22" s="115"/>
      <c r="F22" s="27"/>
      <c r="G22" s="27"/>
      <c r="H22" s="25"/>
      <c r="I22" s="25"/>
      <c r="J22" s="25"/>
      <c r="K22" s="25"/>
      <c r="L22" s="25"/>
      <c r="M22" s="25"/>
      <c r="N22" s="25"/>
      <c r="O22" s="25"/>
      <c r="P22" s="25"/>
      <c r="Q22" s="25"/>
      <c r="R22" s="25"/>
    </row>
    <row r="23" spans="1:54" ht="21.6" x14ac:dyDescent="0.25">
      <c r="A23" s="25"/>
      <c r="B23" s="27"/>
      <c r="C23" s="113">
        <v>6</v>
      </c>
      <c r="D23" s="7" t="s">
        <v>173</v>
      </c>
      <c r="E23" s="115"/>
      <c r="F23" s="26"/>
      <c r="G23" s="27"/>
      <c r="H23" s="25"/>
      <c r="I23" s="25"/>
      <c r="J23" s="25"/>
      <c r="K23" s="25"/>
      <c r="L23" s="25"/>
      <c r="M23" s="25"/>
      <c r="N23" s="25"/>
      <c r="O23" s="25"/>
      <c r="P23" s="25"/>
      <c r="Q23" s="25"/>
      <c r="R23" s="25"/>
    </row>
    <row r="24" spans="1:54" ht="21.6" x14ac:dyDescent="0.25">
      <c r="A24" s="25"/>
      <c r="B24" s="27"/>
      <c r="C24" s="113"/>
      <c r="D24" s="7" t="s">
        <v>174</v>
      </c>
      <c r="E24" s="115"/>
      <c r="F24" s="26"/>
      <c r="G24" s="27"/>
      <c r="H24" s="25"/>
      <c r="I24" s="25"/>
      <c r="J24" s="25"/>
      <c r="K24" s="25"/>
      <c r="L24" s="25"/>
      <c r="M24" s="25"/>
      <c r="N24" s="25"/>
      <c r="O24" s="25"/>
      <c r="P24" s="25"/>
      <c r="Q24" s="25"/>
      <c r="R24" s="25"/>
    </row>
    <row r="25" spans="1:54" ht="21.6" x14ac:dyDescent="0.25">
      <c r="A25" s="25"/>
      <c r="B25" s="27"/>
      <c r="C25" s="75"/>
      <c r="D25" s="24"/>
      <c r="E25" s="115"/>
      <c r="F25" s="27"/>
      <c r="G25" s="27"/>
      <c r="H25" s="25"/>
      <c r="I25" s="25"/>
      <c r="J25" s="25"/>
      <c r="K25" s="25"/>
      <c r="L25" s="25"/>
      <c r="M25" s="25"/>
      <c r="N25" s="25"/>
      <c r="O25" s="25"/>
      <c r="P25" s="25"/>
      <c r="Q25" s="25"/>
      <c r="R25" s="25"/>
    </row>
    <row r="26" spans="1:54" ht="21.6" x14ac:dyDescent="0.25">
      <c r="A26" s="25"/>
      <c r="B26" s="27"/>
      <c r="C26" s="113">
        <v>7</v>
      </c>
      <c r="D26" s="7" t="s">
        <v>59</v>
      </c>
      <c r="E26" s="115"/>
      <c r="F26" s="26"/>
      <c r="G26" s="27"/>
      <c r="H26" s="25"/>
      <c r="I26" s="25"/>
      <c r="J26" s="25"/>
      <c r="K26" s="25"/>
      <c r="L26" s="25"/>
      <c r="M26" s="25"/>
      <c r="N26" s="25"/>
      <c r="O26" s="25"/>
      <c r="P26" s="25"/>
      <c r="Q26" s="25"/>
      <c r="R26" s="25"/>
    </row>
    <row r="27" spans="1:54" ht="21.6" x14ac:dyDescent="0.25">
      <c r="A27" s="25"/>
      <c r="B27" s="27"/>
      <c r="C27" s="113"/>
      <c r="D27" s="7" t="s">
        <v>60</v>
      </c>
      <c r="E27" s="115"/>
      <c r="F27" s="26"/>
      <c r="G27" s="27"/>
      <c r="H27" s="25"/>
      <c r="I27" s="25"/>
      <c r="J27" s="25"/>
      <c r="K27" s="25"/>
      <c r="L27" s="25"/>
      <c r="M27" s="25"/>
      <c r="N27" s="25"/>
      <c r="O27" s="25"/>
      <c r="P27" s="25"/>
      <c r="Q27" s="25"/>
      <c r="R27" s="25"/>
    </row>
    <row r="28" spans="1:54" ht="21.6" x14ac:dyDescent="0.25">
      <c r="A28" s="25"/>
      <c r="B28" s="27"/>
      <c r="C28" s="75"/>
      <c r="D28" s="24"/>
      <c r="E28" s="115"/>
      <c r="F28" s="27"/>
      <c r="G28" s="27"/>
      <c r="H28" s="25"/>
      <c r="I28" s="25"/>
      <c r="J28" s="25"/>
      <c r="K28" s="25"/>
      <c r="L28" s="25"/>
      <c r="M28" s="25"/>
      <c r="N28" s="25"/>
      <c r="O28" s="25"/>
      <c r="P28" s="25"/>
      <c r="Q28" s="25"/>
      <c r="R28" s="25"/>
    </row>
    <row r="29" spans="1:54" ht="21.6" x14ac:dyDescent="0.25">
      <c r="A29" s="25"/>
      <c r="B29" s="27"/>
      <c r="C29" s="113">
        <v>8</v>
      </c>
      <c r="D29" s="7" t="s">
        <v>61</v>
      </c>
      <c r="E29" s="115"/>
      <c r="F29" s="26"/>
      <c r="G29" s="27"/>
      <c r="H29" s="25"/>
      <c r="I29" s="25"/>
      <c r="J29" s="25"/>
      <c r="K29" s="25"/>
      <c r="L29" s="25"/>
      <c r="M29" s="25"/>
      <c r="N29" s="25"/>
      <c r="O29" s="25"/>
      <c r="P29" s="25"/>
      <c r="Q29" s="25"/>
      <c r="R29" s="25"/>
    </row>
    <row r="30" spans="1:54" s="60" customFormat="1" ht="21.6" x14ac:dyDescent="0.25">
      <c r="A30" s="59"/>
      <c r="B30" s="65"/>
      <c r="C30" s="113"/>
      <c r="D30" s="7" t="s">
        <v>175</v>
      </c>
      <c r="E30" s="115"/>
      <c r="F30" s="26"/>
      <c r="G30" s="27"/>
      <c r="H30" s="25"/>
      <c r="I30" s="25"/>
      <c r="J30" s="25"/>
      <c r="K30" s="25"/>
      <c r="L30" s="25"/>
      <c r="M30" s="25"/>
      <c r="N30" s="25"/>
      <c r="O30" s="25"/>
      <c r="P30" s="25"/>
      <c r="Q30" s="25"/>
      <c r="R30" s="25"/>
      <c r="S30" s="57"/>
      <c r="T30" s="57"/>
      <c r="U30" s="57"/>
      <c r="V30" s="57"/>
      <c r="W30" s="57"/>
      <c r="X30" s="57"/>
      <c r="Y30" s="57"/>
      <c r="Z30" s="57"/>
      <c r="AA30" s="57"/>
      <c r="AB30" s="57"/>
      <c r="AC30" s="57"/>
      <c r="AD30" s="57"/>
      <c r="AE30" s="57"/>
      <c r="AF30" s="57"/>
      <c r="AG30" s="57"/>
      <c r="AH30" s="57"/>
      <c r="AI30" s="57"/>
      <c r="AJ30" s="57"/>
      <c r="AK30" s="57"/>
      <c r="AL30" s="57"/>
      <c r="AM30" s="57"/>
      <c r="AN30" s="57"/>
      <c r="AO30" s="57"/>
      <c r="AP30" s="57"/>
      <c r="AQ30" s="57"/>
      <c r="AR30" s="57"/>
      <c r="AS30" s="57"/>
      <c r="AT30" s="57"/>
      <c r="AU30" s="57"/>
      <c r="AV30" s="57"/>
      <c r="AW30" s="57"/>
      <c r="AX30" s="57"/>
      <c r="AY30" s="57"/>
      <c r="AZ30" s="57"/>
      <c r="BA30" s="57"/>
      <c r="BB30" s="57"/>
    </row>
    <row r="31" spans="1:54" s="60" customFormat="1" ht="21.6" x14ac:dyDescent="0.25">
      <c r="A31" s="59"/>
      <c r="B31" s="65"/>
      <c r="C31" s="75"/>
      <c r="D31" s="24"/>
      <c r="E31" s="115"/>
      <c r="F31" s="27"/>
      <c r="G31" s="27"/>
      <c r="H31" s="25"/>
      <c r="I31" s="25"/>
      <c r="J31" s="25"/>
      <c r="K31" s="25"/>
      <c r="L31" s="25"/>
      <c r="M31" s="25"/>
      <c r="N31" s="25"/>
      <c r="O31" s="25"/>
      <c r="P31" s="25"/>
      <c r="Q31" s="25"/>
      <c r="R31" s="25"/>
      <c r="S31" s="57"/>
      <c r="T31" s="57"/>
      <c r="U31" s="57"/>
      <c r="V31" s="57"/>
      <c r="W31" s="57"/>
      <c r="X31" s="57"/>
      <c r="Y31" s="57"/>
      <c r="Z31" s="57"/>
      <c r="AA31" s="57"/>
      <c r="AB31" s="57"/>
      <c r="AC31" s="57"/>
      <c r="AD31" s="57"/>
      <c r="AE31" s="57"/>
      <c r="AF31" s="57"/>
      <c r="AG31" s="57"/>
      <c r="AH31" s="57"/>
      <c r="AI31" s="57"/>
      <c r="AJ31" s="57"/>
      <c r="AK31" s="57"/>
      <c r="AL31" s="57"/>
      <c r="AM31" s="57"/>
      <c r="AN31" s="57"/>
      <c r="AO31" s="57"/>
      <c r="AP31" s="57"/>
      <c r="AQ31" s="57"/>
      <c r="AR31" s="57"/>
      <c r="AS31" s="57"/>
      <c r="AT31" s="57"/>
      <c r="AU31" s="57"/>
      <c r="AV31" s="57"/>
      <c r="AW31" s="57"/>
      <c r="AX31" s="57"/>
      <c r="AY31" s="57"/>
      <c r="AZ31" s="57"/>
      <c r="BA31" s="57"/>
      <c r="BB31" s="57"/>
    </row>
    <row r="32" spans="1:54" s="60" customFormat="1" ht="21.6" x14ac:dyDescent="0.25">
      <c r="A32" s="59"/>
      <c r="B32" s="65"/>
      <c r="C32" s="113">
        <v>9</v>
      </c>
      <c r="D32" s="7" t="s">
        <v>62</v>
      </c>
      <c r="E32" s="115"/>
      <c r="F32" s="26"/>
      <c r="G32" s="27"/>
      <c r="H32" s="25"/>
      <c r="I32" s="25"/>
      <c r="J32" s="25"/>
      <c r="K32" s="25"/>
      <c r="L32" s="25"/>
      <c r="M32" s="25"/>
      <c r="N32" s="25"/>
      <c r="O32" s="25"/>
      <c r="P32" s="25"/>
      <c r="Q32" s="25"/>
      <c r="R32" s="25"/>
      <c r="S32" s="57"/>
      <c r="T32" s="57"/>
      <c r="U32" s="57"/>
      <c r="V32" s="57"/>
      <c r="W32" s="57"/>
      <c r="X32" s="57"/>
      <c r="Y32" s="57"/>
      <c r="Z32" s="57"/>
      <c r="AA32" s="57"/>
      <c r="AB32" s="57"/>
      <c r="AC32" s="57"/>
      <c r="AD32" s="57"/>
      <c r="AE32" s="57"/>
      <c r="AF32" s="57"/>
      <c r="AG32" s="57"/>
      <c r="AH32" s="57"/>
      <c r="AI32" s="57"/>
      <c r="AJ32" s="57"/>
      <c r="AK32" s="57"/>
      <c r="AL32" s="57"/>
      <c r="AM32" s="57"/>
      <c r="AN32" s="57"/>
      <c r="AO32" s="57"/>
      <c r="AP32" s="57"/>
      <c r="AQ32" s="57"/>
      <c r="AR32" s="57"/>
      <c r="AS32" s="57"/>
      <c r="AT32" s="57"/>
      <c r="AU32" s="57"/>
      <c r="AV32" s="57"/>
      <c r="AW32" s="57"/>
      <c r="AX32" s="57"/>
      <c r="AY32" s="57"/>
      <c r="AZ32" s="57"/>
      <c r="BA32" s="57"/>
      <c r="BB32" s="57"/>
    </row>
    <row r="33" spans="1:54" s="60" customFormat="1" ht="21.6" x14ac:dyDescent="0.25">
      <c r="A33" s="59"/>
      <c r="B33" s="65"/>
      <c r="C33" s="113"/>
      <c r="D33" s="7" t="s">
        <v>63</v>
      </c>
      <c r="E33" s="115"/>
      <c r="F33" s="26"/>
      <c r="G33" s="27"/>
      <c r="H33" s="25"/>
      <c r="I33" s="25"/>
      <c r="J33" s="25"/>
      <c r="K33" s="25"/>
      <c r="L33" s="25"/>
      <c r="M33" s="25"/>
      <c r="N33" s="25"/>
      <c r="O33" s="25"/>
      <c r="P33" s="25"/>
      <c r="Q33" s="25"/>
      <c r="R33" s="25"/>
      <c r="S33" s="57"/>
      <c r="T33" s="57"/>
      <c r="U33" s="57"/>
      <c r="V33" s="57"/>
      <c r="W33" s="57"/>
      <c r="X33" s="57"/>
      <c r="Y33" s="57"/>
      <c r="Z33" s="57"/>
      <c r="AA33" s="57"/>
      <c r="AB33" s="57"/>
      <c r="AC33" s="57"/>
      <c r="AD33" s="57"/>
      <c r="AE33" s="57"/>
      <c r="AF33" s="57"/>
      <c r="AG33" s="57"/>
      <c r="AH33" s="57"/>
      <c r="AI33" s="57"/>
      <c r="AJ33" s="57"/>
      <c r="AK33" s="57"/>
      <c r="AL33" s="57"/>
      <c r="AM33" s="57"/>
      <c r="AN33" s="57"/>
      <c r="AO33" s="57"/>
      <c r="AP33" s="57"/>
      <c r="AQ33" s="57"/>
      <c r="AR33" s="57"/>
      <c r="AS33" s="57"/>
      <c r="AT33" s="57"/>
      <c r="AU33" s="57"/>
      <c r="AV33" s="57"/>
      <c r="AW33" s="57"/>
      <c r="AX33" s="57"/>
      <c r="AY33" s="57"/>
      <c r="AZ33" s="57"/>
      <c r="BA33" s="57"/>
      <c r="BB33" s="57"/>
    </row>
    <row r="34" spans="1:54" s="60" customFormat="1" ht="21.6" x14ac:dyDescent="0.25">
      <c r="A34" s="59"/>
      <c r="B34" s="65"/>
      <c r="C34" s="75"/>
      <c r="D34" s="24"/>
      <c r="E34" s="115"/>
      <c r="F34" s="27"/>
      <c r="G34" s="27"/>
      <c r="H34" s="25"/>
      <c r="I34" s="25"/>
      <c r="J34" s="25"/>
      <c r="K34" s="25"/>
      <c r="L34" s="25"/>
      <c r="M34" s="25"/>
      <c r="N34" s="25"/>
      <c r="O34" s="25"/>
      <c r="P34" s="25"/>
      <c r="Q34" s="25"/>
      <c r="R34" s="25"/>
      <c r="S34" s="57"/>
      <c r="T34" s="57"/>
      <c r="U34" s="57"/>
      <c r="V34" s="57"/>
      <c r="W34" s="57"/>
      <c r="X34" s="57"/>
      <c r="Y34" s="57"/>
      <c r="Z34" s="57"/>
      <c r="AA34" s="57"/>
      <c r="AB34" s="57"/>
      <c r="AC34" s="57"/>
      <c r="AD34" s="57"/>
      <c r="AE34" s="57"/>
      <c r="AF34" s="57"/>
      <c r="AG34" s="57"/>
      <c r="AH34" s="57"/>
      <c r="AI34" s="57"/>
      <c r="AJ34" s="57"/>
      <c r="AK34" s="57"/>
      <c r="AL34" s="57"/>
      <c r="AM34" s="57"/>
      <c r="AN34" s="57"/>
      <c r="AO34" s="57"/>
      <c r="AP34" s="57"/>
      <c r="AQ34" s="57"/>
      <c r="AR34" s="57"/>
      <c r="AS34" s="57"/>
      <c r="AT34" s="57"/>
      <c r="AU34" s="57"/>
      <c r="AV34" s="57"/>
      <c r="AW34" s="57"/>
      <c r="AX34" s="57"/>
      <c r="AY34" s="57"/>
      <c r="AZ34" s="57"/>
      <c r="BA34" s="57"/>
      <c r="BB34" s="57"/>
    </row>
    <row r="35" spans="1:54" s="60" customFormat="1" ht="21.6" customHeight="1" x14ac:dyDescent="0.25">
      <c r="A35" s="59"/>
      <c r="B35" s="65"/>
      <c r="C35" s="113">
        <v>10</v>
      </c>
      <c r="D35" s="7" t="s">
        <v>64</v>
      </c>
      <c r="E35" s="115"/>
      <c r="F35" s="26"/>
      <c r="G35" s="27"/>
      <c r="H35" s="25"/>
      <c r="I35" s="25"/>
      <c r="J35" s="25"/>
      <c r="K35" s="25"/>
      <c r="L35" s="25"/>
      <c r="M35" s="25"/>
      <c r="N35" s="25"/>
      <c r="O35" s="25"/>
      <c r="P35" s="25"/>
      <c r="Q35" s="25"/>
      <c r="R35" s="25"/>
      <c r="S35" s="57"/>
      <c r="T35" s="57"/>
      <c r="U35" s="57"/>
      <c r="V35" s="57"/>
      <c r="W35" s="57"/>
      <c r="X35" s="57"/>
      <c r="Y35" s="57"/>
      <c r="Z35" s="57"/>
      <c r="AA35" s="57"/>
      <c r="AB35" s="57"/>
      <c r="AC35" s="57"/>
      <c r="AD35" s="57"/>
      <c r="AE35" s="57"/>
      <c r="AF35" s="57"/>
      <c r="AG35" s="57"/>
      <c r="AH35" s="57"/>
      <c r="AI35" s="57"/>
      <c r="AJ35" s="57"/>
      <c r="AK35" s="57"/>
      <c r="AL35" s="57"/>
      <c r="AM35" s="57"/>
      <c r="AN35" s="57"/>
      <c r="AO35" s="57"/>
      <c r="AP35" s="57"/>
      <c r="AQ35" s="57"/>
      <c r="AR35" s="57"/>
      <c r="AS35" s="57"/>
      <c r="AT35" s="57"/>
      <c r="AU35" s="57"/>
      <c r="AV35" s="57"/>
      <c r="AW35" s="57"/>
      <c r="AX35" s="57"/>
      <c r="AY35" s="57"/>
      <c r="AZ35" s="57"/>
      <c r="BA35" s="57"/>
      <c r="BB35" s="57"/>
    </row>
    <row r="36" spans="1:54" s="60" customFormat="1" ht="21.6" x14ac:dyDescent="0.25">
      <c r="A36" s="59"/>
      <c r="B36" s="65"/>
      <c r="C36" s="113"/>
      <c r="D36" s="7" t="s">
        <v>65</v>
      </c>
      <c r="E36" s="115"/>
      <c r="F36" s="26"/>
      <c r="G36" s="27"/>
      <c r="H36" s="25"/>
      <c r="I36" s="25"/>
      <c r="J36" s="25"/>
      <c r="K36" s="25"/>
      <c r="L36" s="25"/>
      <c r="M36" s="25"/>
      <c r="N36" s="25"/>
      <c r="O36" s="25"/>
      <c r="P36" s="25"/>
      <c r="Q36" s="25"/>
      <c r="R36" s="25"/>
      <c r="S36" s="57"/>
      <c r="T36" s="57"/>
      <c r="U36" s="57"/>
      <c r="V36" s="57"/>
      <c r="W36" s="57"/>
      <c r="X36" s="57"/>
      <c r="Y36" s="57"/>
      <c r="Z36" s="57"/>
      <c r="AA36" s="57"/>
      <c r="AB36" s="57"/>
      <c r="AC36" s="57"/>
      <c r="AD36" s="57"/>
      <c r="AE36" s="57"/>
      <c r="AF36" s="57"/>
      <c r="AG36" s="57"/>
      <c r="AH36" s="57"/>
      <c r="AI36" s="57"/>
      <c r="AJ36" s="57"/>
      <c r="AK36" s="57"/>
      <c r="AL36" s="57"/>
      <c r="AM36" s="57"/>
      <c r="AN36" s="57"/>
      <c r="AO36" s="57"/>
      <c r="AP36" s="57"/>
      <c r="AQ36" s="57"/>
      <c r="AR36" s="57"/>
      <c r="AS36" s="57"/>
      <c r="AT36" s="57"/>
      <c r="AU36" s="57"/>
      <c r="AV36" s="57"/>
      <c r="AW36" s="57"/>
      <c r="AX36" s="57"/>
      <c r="AY36" s="57"/>
      <c r="AZ36" s="57"/>
      <c r="BA36" s="57"/>
      <c r="BB36" s="57"/>
    </row>
    <row r="37" spans="1:54" s="60" customFormat="1" ht="21.6" x14ac:dyDescent="0.25">
      <c r="A37" s="59"/>
      <c r="B37" s="65"/>
      <c r="C37" s="75"/>
      <c r="D37" s="24"/>
      <c r="E37" s="115"/>
      <c r="F37" s="27"/>
      <c r="G37" s="27"/>
      <c r="H37" s="25"/>
      <c r="I37" s="25"/>
      <c r="J37" s="25"/>
      <c r="K37" s="25"/>
      <c r="L37" s="25"/>
      <c r="M37" s="25"/>
      <c r="N37" s="25"/>
      <c r="O37" s="25"/>
      <c r="P37" s="25"/>
      <c r="Q37" s="25"/>
      <c r="R37" s="25"/>
      <c r="S37" s="57"/>
      <c r="T37" s="57"/>
      <c r="U37" s="57"/>
      <c r="V37" s="57"/>
      <c r="W37" s="57"/>
      <c r="X37" s="57"/>
      <c r="Y37" s="57"/>
      <c r="Z37" s="57"/>
      <c r="AA37" s="57"/>
      <c r="AB37" s="57"/>
      <c r="AC37" s="57"/>
      <c r="AD37" s="57"/>
      <c r="AE37" s="57"/>
      <c r="AF37" s="57"/>
      <c r="AG37" s="57"/>
      <c r="AH37" s="57"/>
      <c r="AI37" s="57"/>
      <c r="AJ37" s="57"/>
      <c r="AK37" s="57"/>
      <c r="AL37" s="57"/>
      <c r="AM37" s="57"/>
      <c r="AN37" s="57"/>
      <c r="AO37" s="57"/>
      <c r="AP37" s="57"/>
      <c r="AQ37" s="57"/>
      <c r="AR37" s="57"/>
      <c r="AS37" s="57"/>
      <c r="AT37" s="57"/>
      <c r="AU37" s="57"/>
      <c r="AV37" s="57"/>
      <c r="AW37" s="57"/>
      <c r="AX37" s="57"/>
      <c r="AY37" s="57"/>
      <c r="AZ37" s="57"/>
      <c r="BA37" s="57"/>
      <c r="BB37" s="57"/>
    </row>
    <row r="38" spans="1:54" s="60" customFormat="1" ht="21.6" x14ac:dyDescent="0.25">
      <c r="A38" s="59"/>
      <c r="B38" s="65"/>
      <c r="C38" s="113">
        <v>11</v>
      </c>
      <c r="D38" s="7" t="s">
        <v>66</v>
      </c>
      <c r="E38" s="115"/>
      <c r="F38" s="26"/>
      <c r="G38" s="27"/>
      <c r="H38" s="25"/>
      <c r="I38" s="25"/>
      <c r="J38" s="25"/>
      <c r="K38" s="25"/>
      <c r="L38" s="25"/>
      <c r="M38" s="25"/>
      <c r="N38" s="25"/>
      <c r="O38" s="25"/>
      <c r="P38" s="25"/>
      <c r="Q38" s="25"/>
      <c r="R38" s="25"/>
      <c r="S38" s="57"/>
      <c r="T38" s="57"/>
      <c r="U38" s="57"/>
      <c r="V38" s="57"/>
      <c r="W38" s="57"/>
      <c r="X38" s="57"/>
      <c r="Y38" s="57"/>
      <c r="Z38" s="57"/>
      <c r="AA38" s="57"/>
      <c r="AB38" s="57"/>
      <c r="AC38" s="57"/>
      <c r="AD38" s="57"/>
      <c r="AE38" s="57"/>
      <c r="AF38" s="57"/>
      <c r="AG38" s="57"/>
      <c r="AH38" s="57"/>
      <c r="AI38" s="57"/>
      <c r="AJ38" s="57"/>
      <c r="AK38" s="57"/>
      <c r="AL38" s="57"/>
      <c r="AM38" s="57"/>
      <c r="AN38" s="57"/>
      <c r="AO38" s="57"/>
      <c r="AP38" s="57"/>
      <c r="AQ38" s="57"/>
      <c r="AR38" s="57"/>
      <c r="AS38" s="57"/>
      <c r="AT38" s="57"/>
      <c r="AU38" s="57"/>
      <c r="AV38" s="57"/>
      <c r="AW38" s="57"/>
      <c r="AX38" s="57"/>
      <c r="AY38" s="57"/>
      <c r="AZ38" s="57"/>
      <c r="BA38" s="57"/>
      <c r="BB38" s="57"/>
    </row>
    <row r="39" spans="1:54" s="60" customFormat="1" ht="21.6" x14ac:dyDescent="0.25">
      <c r="A39" s="59"/>
      <c r="B39" s="65"/>
      <c r="C39" s="113"/>
      <c r="D39" s="7" t="s">
        <v>67</v>
      </c>
      <c r="E39" s="115"/>
      <c r="F39" s="26"/>
      <c r="G39" s="27"/>
      <c r="H39" s="25"/>
      <c r="I39" s="25"/>
      <c r="J39" s="25"/>
      <c r="K39" s="25"/>
      <c r="L39" s="25"/>
      <c r="M39" s="25"/>
      <c r="N39" s="25"/>
      <c r="O39" s="25"/>
      <c r="P39" s="25"/>
      <c r="Q39" s="25"/>
      <c r="R39" s="25"/>
      <c r="S39" s="57"/>
      <c r="T39" s="57"/>
      <c r="U39" s="57"/>
      <c r="V39" s="57"/>
      <c r="W39" s="57"/>
      <c r="X39" s="57"/>
      <c r="Y39" s="5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row>
    <row r="40" spans="1:54" s="60" customFormat="1" ht="21.6" x14ac:dyDescent="0.25">
      <c r="A40" s="59"/>
      <c r="B40" s="65"/>
      <c r="C40" s="75"/>
      <c r="D40" s="24"/>
      <c r="E40" s="115"/>
      <c r="F40" s="27"/>
      <c r="G40" s="27"/>
      <c r="H40" s="25"/>
      <c r="I40" s="25"/>
      <c r="J40" s="25"/>
      <c r="K40" s="25"/>
      <c r="L40" s="25"/>
      <c r="M40" s="25"/>
      <c r="N40" s="25"/>
      <c r="O40" s="25"/>
      <c r="P40" s="25"/>
      <c r="Q40" s="25"/>
      <c r="R40" s="25"/>
      <c r="S40" s="57"/>
      <c r="T40" s="57"/>
      <c r="U40" s="57"/>
      <c r="V40" s="57"/>
      <c r="W40" s="57"/>
      <c r="X40" s="57"/>
      <c r="Y40" s="5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row>
    <row r="41" spans="1:54" s="60" customFormat="1" ht="21.6" x14ac:dyDescent="0.25">
      <c r="A41" s="59"/>
      <c r="B41" s="65"/>
      <c r="C41" s="113">
        <v>12</v>
      </c>
      <c r="D41" s="7" t="s">
        <v>68</v>
      </c>
      <c r="E41" s="115"/>
      <c r="F41" s="26"/>
      <c r="G41" s="27"/>
      <c r="H41" s="25"/>
      <c r="I41" s="25"/>
      <c r="J41" s="25"/>
      <c r="K41" s="25"/>
      <c r="L41" s="25"/>
      <c r="M41" s="25"/>
      <c r="N41" s="25"/>
      <c r="O41" s="25"/>
      <c r="P41" s="25"/>
      <c r="Q41" s="25"/>
      <c r="R41" s="25"/>
      <c r="S41" s="57"/>
      <c r="T41" s="57"/>
      <c r="U41" s="57"/>
      <c r="V41" s="57"/>
      <c r="W41" s="57"/>
      <c r="X41" s="57"/>
      <c r="Y41" s="57"/>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row>
    <row r="42" spans="1:54" s="60" customFormat="1" ht="21.6" x14ac:dyDescent="0.25">
      <c r="A42" s="59"/>
      <c r="B42" s="65"/>
      <c r="C42" s="113"/>
      <c r="D42" s="7" t="s">
        <v>69</v>
      </c>
      <c r="E42" s="115"/>
      <c r="F42" s="26"/>
      <c r="G42" s="27"/>
      <c r="H42" s="25"/>
      <c r="I42" s="25"/>
      <c r="J42" s="25"/>
      <c r="K42" s="25"/>
      <c r="L42" s="25"/>
      <c r="M42" s="25"/>
      <c r="N42" s="25"/>
      <c r="O42" s="25"/>
      <c r="P42" s="25"/>
      <c r="Q42" s="25"/>
      <c r="R42" s="25"/>
      <c r="S42" s="57"/>
      <c r="T42" s="57"/>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row>
    <row r="43" spans="1:54" s="60" customFormat="1" ht="21.6" x14ac:dyDescent="0.25">
      <c r="A43" s="59"/>
      <c r="B43" s="65"/>
      <c r="C43" s="75"/>
      <c r="D43" s="24"/>
      <c r="E43" s="115"/>
      <c r="F43" s="27"/>
      <c r="G43" s="27"/>
      <c r="H43" s="25"/>
      <c r="I43" s="25"/>
      <c r="J43" s="25"/>
      <c r="K43" s="25"/>
      <c r="L43" s="25"/>
      <c r="M43" s="25"/>
      <c r="N43" s="25"/>
      <c r="O43" s="25"/>
      <c r="P43" s="25"/>
      <c r="Q43" s="25"/>
      <c r="R43" s="25"/>
      <c r="S43" s="57"/>
      <c r="T43" s="57"/>
      <c r="U43" s="57"/>
      <c r="V43" s="57"/>
      <c r="W43" s="57"/>
      <c r="X43" s="57"/>
      <c r="Y43" s="57"/>
      <c r="Z43" s="57"/>
      <c r="AA43" s="57"/>
      <c r="AB43" s="57"/>
      <c r="AC43" s="57"/>
      <c r="AD43" s="57"/>
      <c r="AE43" s="57"/>
      <c r="AF43" s="57"/>
      <c r="AG43" s="57"/>
      <c r="AH43" s="57"/>
      <c r="AI43" s="57"/>
      <c r="AJ43" s="57"/>
      <c r="AK43" s="57"/>
      <c r="AL43" s="57"/>
      <c r="AM43" s="57"/>
      <c r="AN43" s="57"/>
      <c r="AO43" s="57"/>
      <c r="AP43" s="57"/>
      <c r="AQ43" s="57"/>
      <c r="AR43" s="57"/>
      <c r="AS43" s="57"/>
      <c r="AT43" s="57"/>
      <c r="AU43" s="57"/>
      <c r="AV43" s="57"/>
      <c r="AW43" s="57"/>
      <c r="AX43" s="57"/>
      <c r="AY43" s="57"/>
      <c r="AZ43" s="57"/>
      <c r="BA43" s="57"/>
      <c r="BB43" s="57"/>
    </row>
    <row r="44" spans="1:54" s="60" customFormat="1" ht="21.6" x14ac:dyDescent="0.25">
      <c r="A44" s="59"/>
      <c r="B44" s="65"/>
      <c r="C44" s="113">
        <v>13</v>
      </c>
      <c r="D44" s="7" t="s">
        <v>70</v>
      </c>
      <c r="E44" s="115"/>
      <c r="F44" s="26"/>
      <c r="G44" s="27"/>
      <c r="H44" s="25"/>
      <c r="I44" s="25"/>
      <c r="J44" s="25"/>
      <c r="K44" s="25"/>
      <c r="L44" s="25"/>
      <c r="M44" s="25"/>
      <c r="N44" s="25"/>
      <c r="O44" s="25"/>
      <c r="P44" s="25"/>
      <c r="Q44" s="25"/>
      <c r="R44" s="25"/>
      <c r="S44" s="57"/>
      <c r="T44" s="57"/>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7"/>
      <c r="AS44" s="57"/>
      <c r="AT44" s="57"/>
      <c r="AU44" s="57"/>
      <c r="AV44" s="57"/>
      <c r="AW44" s="57"/>
      <c r="AX44" s="57"/>
      <c r="AY44" s="57"/>
      <c r="AZ44" s="57"/>
      <c r="BA44" s="57"/>
      <c r="BB44" s="57"/>
    </row>
    <row r="45" spans="1:54" s="60" customFormat="1" ht="21.6" x14ac:dyDescent="0.25">
      <c r="A45" s="59"/>
      <c r="B45" s="65"/>
      <c r="C45" s="113"/>
      <c r="D45" s="7" t="s">
        <v>71</v>
      </c>
      <c r="E45" s="115"/>
      <c r="F45" s="26"/>
      <c r="G45" s="27"/>
      <c r="H45" s="25"/>
      <c r="I45" s="25"/>
      <c r="J45" s="25"/>
      <c r="K45" s="25"/>
      <c r="L45" s="25"/>
      <c r="M45" s="25"/>
      <c r="N45" s="25"/>
      <c r="O45" s="25"/>
      <c r="P45" s="25"/>
      <c r="Q45" s="25"/>
      <c r="R45" s="25"/>
      <c r="S45" s="57"/>
      <c r="T45" s="57"/>
      <c r="U45" s="57"/>
      <c r="V45" s="57"/>
      <c r="W45" s="57"/>
      <c r="X45" s="57"/>
      <c r="Y45" s="57"/>
      <c r="Z45" s="57"/>
      <c r="AA45" s="57"/>
      <c r="AB45" s="57"/>
      <c r="AC45" s="57"/>
      <c r="AD45" s="57"/>
      <c r="AE45" s="57"/>
      <c r="AF45" s="57"/>
      <c r="AG45" s="57"/>
      <c r="AH45" s="57"/>
      <c r="AI45" s="57"/>
      <c r="AJ45" s="57"/>
      <c r="AK45" s="57"/>
      <c r="AL45" s="57"/>
      <c r="AM45" s="57"/>
      <c r="AN45" s="57"/>
      <c r="AO45" s="57"/>
      <c r="AP45" s="57"/>
      <c r="AQ45" s="57"/>
      <c r="AR45" s="57"/>
      <c r="AS45" s="57"/>
      <c r="AT45" s="57"/>
      <c r="AU45" s="57"/>
      <c r="AV45" s="57"/>
      <c r="AW45" s="57"/>
      <c r="AX45" s="57"/>
      <c r="AY45" s="57"/>
      <c r="AZ45" s="57"/>
      <c r="BA45" s="57"/>
      <c r="BB45" s="57"/>
    </row>
    <row r="46" spans="1:54" s="60" customFormat="1" ht="21.6" x14ac:dyDescent="0.25">
      <c r="A46" s="59"/>
      <c r="B46" s="65"/>
      <c r="C46" s="75"/>
      <c r="D46" s="24"/>
      <c r="E46" s="115"/>
      <c r="F46" s="27"/>
      <c r="G46" s="27"/>
      <c r="H46" s="25"/>
      <c r="I46" s="25"/>
      <c r="J46" s="25"/>
      <c r="K46" s="25"/>
      <c r="L46" s="25"/>
      <c r="M46" s="25"/>
      <c r="N46" s="25"/>
      <c r="O46" s="25"/>
      <c r="P46" s="25"/>
      <c r="Q46" s="25"/>
      <c r="R46" s="25"/>
      <c r="S46" s="57"/>
      <c r="T46" s="57"/>
      <c r="U46" s="57"/>
      <c r="V46" s="57"/>
      <c r="W46" s="57"/>
      <c r="X46" s="57"/>
      <c r="Y46" s="57"/>
      <c r="Z46" s="57"/>
      <c r="AA46" s="57"/>
      <c r="AB46" s="57"/>
      <c r="AC46" s="57"/>
      <c r="AD46" s="57"/>
      <c r="AE46" s="57"/>
      <c r="AF46" s="57"/>
      <c r="AG46" s="57"/>
      <c r="AH46" s="57"/>
      <c r="AI46" s="57"/>
      <c r="AJ46" s="57"/>
      <c r="AK46" s="57"/>
      <c r="AL46" s="57"/>
      <c r="AM46" s="57"/>
      <c r="AN46" s="57"/>
      <c r="AO46" s="57"/>
      <c r="AP46" s="57"/>
      <c r="AQ46" s="57"/>
      <c r="AR46" s="57"/>
      <c r="AS46" s="57"/>
      <c r="AT46" s="57"/>
      <c r="AU46" s="57"/>
      <c r="AV46" s="57"/>
      <c r="AW46" s="57"/>
      <c r="AX46" s="57"/>
      <c r="AY46" s="57"/>
      <c r="AZ46" s="57"/>
      <c r="BA46" s="57"/>
      <c r="BB46" s="57"/>
    </row>
    <row r="47" spans="1:54" s="60" customFormat="1" ht="21.6" x14ac:dyDescent="0.25">
      <c r="A47" s="59"/>
      <c r="B47" s="65"/>
      <c r="C47" s="113">
        <v>14</v>
      </c>
      <c r="D47" s="7" t="s">
        <v>72</v>
      </c>
      <c r="E47" s="115"/>
      <c r="F47" s="26"/>
      <c r="G47" s="27"/>
      <c r="H47" s="25"/>
      <c r="I47" s="25"/>
      <c r="J47" s="25"/>
      <c r="K47" s="25"/>
      <c r="L47" s="25"/>
      <c r="M47" s="25"/>
      <c r="N47" s="25"/>
      <c r="O47" s="25"/>
      <c r="P47" s="25"/>
      <c r="Q47" s="25"/>
      <c r="R47" s="25"/>
      <c r="S47" s="57"/>
      <c r="T47" s="57"/>
      <c r="U47" s="57"/>
      <c r="V47" s="57"/>
      <c r="W47" s="57"/>
      <c r="X47" s="57"/>
      <c r="Y47" s="57"/>
      <c r="Z47" s="57"/>
      <c r="AA47" s="57"/>
      <c r="AB47" s="57"/>
      <c r="AC47" s="57"/>
      <c r="AD47" s="57"/>
      <c r="AE47" s="57"/>
      <c r="AF47" s="57"/>
      <c r="AG47" s="57"/>
      <c r="AH47" s="57"/>
      <c r="AI47" s="57"/>
      <c r="AJ47" s="57"/>
      <c r="AK47" s="57"/>
      <c r="AL47" s="57"/>
      <c r="AM47" s="57"/>
      <c r="AN47" s="57"/>
      <c r="AO47" s="57"/>
      <c r="AP47" s="57"/>
      <c r="AQ47" s="57"/>
      <c r="AR47" s="57"/>
      <c r="AS47" s="57"/>
      <c r="AT47" s="57"/>
      <c r="AU47" s="57"/>
      <c r="AV47" s="57"/>
      <c r="AW47" s="57"/>
      <c r="AX47" s="57"/>
      <c r="AY47" s="57"/>
      <c r="AZ47" s="57"/>
      <c r="BA47" s="57"/>
      <c r="BB47" s="57"/>
    </row>
    <row r="48" spans="1:54" s="60" customFormat="1" ht="21.6" x14ac:dyDescent="0.25">
      <c r="A48" s="59"/>
      <c r="B48" s="65"/>
      <c r="C48" s="113"/>
      <c r="D48" s="7" t="s">
        <v>73</v>
      </c>
      <c r="E48" s="115"/>
      <c r="F48" s="26"/>
      <c r="G48" s="27"/>
      <c r="H48" s="25"/>
      <c r="I48" s="25"/>
      <c r="J48" s="25"/>
      <c r="K48" s="25"/>
      <c r="L48" s="25"/>
      <c r="M48" s="25"/>
      <c r="N48" s="25"/>
      <c r="O48" s="25"/>
      <c r="P48" s="25"/>
      <c r="Q48" s="25"/>
      <c r="R48" s="25"/>
      <c r="S48" s="57"/>
      <c r="T48" s="57"/>
      <c r="U48" s="57"/>
      <c r="V48" s="57"/>
      <c r="W48" s="57"/>
      <c r="X48" s="57"/>
      <c r="Y48" s="57"/>
      <c r="Z48" s="57"/>
      <c r="AA48" s="57"/>
      <c r="AB48" s="57"/>
      <c r="AC48" s="57"/>
      <c r="AD48" s="57"/>
      <c r="AE48" s="57"/>
      <c r="AF48" s="57"/>
      <c r="AG48" s="57"/>
      <c r="AH48" s="57"/>
      <c r="AI48" s="57"/>
      <c r="AJ48" s="57"/>
      <c r="AK48" s="57"/>
      <c r="AL48" s="57"/>
      <c r="AM48" s="57"/>
      <c r="AN48" s="57"/>
      <c r="AO48" s="57"/>
      <c r="AP48" s="57"/>
      <c r="AQ48" s="57"/>
      <c r="AR48" s="57"/>
      <c r="AS48" s="57"/>
      <c r="AT48" s="57"/>
      <c r="AU48" s="57"/>
      <c r="AV48" s="57"/>
      <c r="AW48" s="57"/>
      <c r="AX48" s="57"/>
      <c r="AY48" s="57"/>
      <c r="AZ48" s="57"/>
      <c r="BA48" s="57"/>
      <c r="BB48" s="57"/>
    </row>
    <row r="49" spans="1:54" s="60" customFormat="1" ht="21.6" x14ac:dyDescent="0.25">
      <c r="A49" s="59"/>
      <c r="B49" s="65"/>
      <c r="C49" s="75"/>
      <c r="D49" s="24"/>
      <c r="E49" s="115"/>
      <c r="F49" s="27"/>
      <c r="G49" s="27"/>
      <c r="H49" s="25"/>
      <c r="I49" s="25"/>
      <c r="J49" s="25"/>
      <c r="K49" s="25"/>
      <c r="L49" s="25"/>
      <c r="M49" s="25"/>
      <c r="N49" s="25"/>
      <c r="O49" s="25"/>
      <c r="P49" s="25"/>
      <c r="Q49" s="25"/>
      <c r="R49" s="25"/>
      <c r="S49" s="57"/>
      <c r="T49" s="57"/>
      <c r="U49" s="57"/>
      <c r="V49" s="57"/>
      <c r="W49" s="57"/>
      <c r="X49" s="57"/>
      <c r="Y49" s="57"/>
      <c r="Z49" s="57"/>
      <c r="AA49" s="57"/>
      <c r="AB49" s="57"/>
      <c r="AC49" s="57"/>
      <c r="AD49" s="57"/>
      <c r="AE49" s="57"/>
      <c r="AF49" s="57"/>
      <c r="AG49" s="57"/>
      <c r="AH49" s="57"/>
      <c r="AI49" s="57"/>
      <c r="AJ49" s="57"/>
      <c r="AK49" s="57"/>
      <c r="AL49" s="57"/>
      <c r="AM49" s="57"/>
      <c r="AN49" s="57"/>
      <c r="AO49" s="57"/>
      <c r="AP49" s="57"/>
      <c r="AQ49" s="57"/>
      <c r="AR49" s="57"/>
      <c r="AS49" s="57"/>
      <c r="AT49" s="57"/>
      <c r="AU49" s="57"/>
      <c r="AV49" s="57"/>
      <c r="AW49" s="57"/>
      <c r="AX49" s="57"/>
      <c r="AY49" s="57"/>
      <c r="AZ49" s="57"/>
      <c r="BA49" s="57"/>
      <c r="BB49" s="57"/>
    </row>
    <row r="50" spans="1:54" s="60" customFormat="1" ht="21.6" x14ac:dyDescent="0.25">
      <c r="A50" s="59"/>
      <c r="B50" s="65"/>
      <c r="C50" s="113">
        <v>15</v>
      </c>
      <c r="D50" s="7" t="s">
        <v>74</v>
      </c>
      <c r="E50" s="115"/>
      <c r="F50" s="26"/>
      <c r="G50" s="27"/>
      <c r="H50" s="25"/>
      <c r="I50" s="25"/>
      <c r="J50" s="25"/>
      <c r="K50" s="25"/>
      <c r="L50" s="25"/>
      <c r="M50" s="25"/>
      <c r="N50" s="25"/>
      <c r="O50" s="25"/>
      <c r="P50" s="25"/>
      <c r="Q50" s="25"/>
      <c r="R50" s="25"/>
      <c r="S50" s="57"/>
      <c r="T50" s="57"/>
      <c r="U50" s="57"/>
      <c r="V50" s="57"/>
      <c r="W50" s="57"/>
      <c r="X50" s="57"/>
      <c r="Y50" s="57"/>
      <c r="Z50" s="57"/>
      <c r="AA50" s="57"/>
      <c r="AB50" s="57"/>
      <c r="AC50" s="57"/>
      <c r="AD50" s="57"/>
      <c r="AE50" s="57"/>
      <c r="AF50" s="57"/>
      <c r="AG50" s="57"/>
      <c r="AH50" s="57"/>
      <c r="AI50" s="57"/>
      <c r="AJ50" s="57"/>
      <c r="AK50" s="57"/>
      <c r="AL50" s="57"/>
      <c r="AM50" s="57"/>
      <c r="AN50" s="57"/>
      <c r="AO50" s="57"/>
      <c r="AP50" s="57"/>
      <c r="AQ50" s="57"/>
      <c r="AR50" s="57"/>
      <c r="AS50" s="57"/>
      <c r="AT50" s="57"/>
      <c r="AU50" s="57"/>
      <c r="AV50" s="57"/>
      <c r="AW50" s="57"/>
      <c r="AX50" s="57"/>
      <c r="AY50" s="57"/>
      <c r="AZ50" s="57"/>
      <c r="BA50" s="57"/>
      <c r="BB50" s="57"/>
    </row>
    <row r="51" spans="1:54" s="60" customFormat="1" ht="21.6" x14ac:dyDescent="0.25">
      <c r="A51" s="59"/>
      <c r="B51" s="65"/>
      <c r="C51" s="113"/>
      <c r="D51" s="7" t="s">
        <v>75</v>
      </c>
      <c r="E51" s="115"/>
      <c r="F51" s="26"/>
      <c r="G51" s="27"/>
      <c r="H51" s="25"/>
      <c r="I51" s="25"/>
      <c r="J51" s="25"/>
      <c r="K51" s="25"/>
      <c r="L51" s="25"/>
      <c r="M51" s="25"/>
      <c r="N51" s="25"/>
      <c r="O51" s="25"/>
      <c r="P51" s="25"/>
      <c r="Q51" s="25"/>
      <c r="R51" s="25"/>
      <c r="S51" s="57"/>
      <c r="T51" s="57"/>
      <c r="U51" s="57"/>
      <c r="V51" s="57"/>
      <c r="W51" s="57"/>
      <c r="X51" s="57"/>
      <c r="Y51" s="57"/>
      <c r="Z51" s="57"/>
      <c r="AA51" s="57"/>
      <c r="AB51" s="57"/>
      <c r="AC51" s="57"/>
      <c r="AD51" s="57"/>
      <c r="AE51" s="57"/>
      <c r="AF51" s="57"/>
      <c r="AG51" s="57"/>
      <c r="AH51" s="57"/>
      <c r="AI51" s="57"/>
      <c r="AJ51" s="57"/>
      <c r="AK51" s="57"/>
      <c r="AL51" s="57"/>
      <c r="AM51" s="57"/>
      <c r="AN51" s="57"/>
      <c r="AO51" s="57"/>
      <c r="AP51" s="57"/>
      <c r="AQ51" s="57"/>
      <c r="AR51" s="57"/>
      <c r="AS51" s="57"/>
      <c r="AT51" s="57"/>
      <c r="AU51" s="57"/>
      <c r="AV51" s="57"/>
      <c r="AW51" s="57"/>
      <c r="AX51" s="57"/>
      <c r="AY51" s="57"/>
      <c r="AZ51" s="57"/>
      <c r="BA51" s="57"/>
      <c r="BB51" s="57"/>
    </row>
    <row r="52" spans="1:54" s="60" customFormat="1" ht="21.6" x14ac:dyDescent="0.25">
      <c r="A52" s="59"/>
      <c r="B52" s="65"/>
      <c r="C52" s="75"/>
      <c r="D52" s="24"/>
      <c r="E52" s="115"/>
      <c r="F52" s="27"/>
      <c r="G52" s="27"/>
      <c r="H52" s="25"/>
      <c r="I52" s="25"/>
      <c r="J52" s="25"/>
      <c r="K52" s="25"/>
      <c r="L52" s="25"/>
      <c r="M52" s="25"/>
      <c r="N52" s="25"/>
      <c r="O52" s="25"/>
      <c r="P52" s="25"/>
      <c r="Q52" s="25"/>
      <c r="R52" s="25"/>
      <c r="S52" s="57"/>
      <c r="T52" s="57"/>
      <c r="U52" s="57"/>
      <c r="V52" s="57"/>
      <c r="W52" s="57"/>
      <c r="X52" s="57"/>
      <c r="Y52" s="57"/>
      <c r="Z52" s="57"/>
      <c r="AA52" s="57"/>
      <c r="AB52" s="57"/>
      <c r="AC52" s="57"/>
      <c r="AD52" s="57"/>
      <c r="AE52" s="57"/>
      <c r="AF52" s="57"/>
      <c r="AG52" s="57"/>
      <c r="AH52" s="57"/>
      <c r="AI52" s="57"/>
      <c r="AJ52" s="57"/>
      <c r="AK52" s="57"/>
      <c r="AL52" s="57"/>
      <c r="AM52" s="57"/>
      <c r="AN52" s="57"/>
      <c r="AO52" s="57"/>
      <c r="AP52" s="57"/>
      <c r="AQ52" s="57"/>
      <c r="AR52" s="57"/>
      <c r="AS52" s="57"/>
      <c r="AT52" s="57"/>
      <c r="AU52" s="57"/>
      <c r="AV52" s="57"/>
      <c r="AW52" s="57"/>
      <c r="AX52" s="57"/>
      <c r="AY52" s="57"/>
      <c r="AZ52" s="57"/>
      <c r="BA52" s="57"/>
      <c r="BB52" s="57"/>
    </row>
    <row r="53" spans="1:54" s="60" customFormat="1" ht="21.6" x14ac:dyDescent="0.25">
      <c r="A53" s="59"/>
      <c r="B53" s="65"/>
      <c r="C53" s="113">
        <v>16</v>
      </c>
      <c r="D53" s="7" t="s">
        <v>76</v>
      </c>
      <c r="E53" s="115"/>
      <c r="F53" s="26"/>
      <c r="G53" s="27"/>
      <c r="H53" s="25"/>
      <c r="I53" s="25"/>
      <c r="J53" s="25"/>
      <c r="K53" s="25"/>
      <c r="L53" s="25"/>
      <c r="M53" s="25"/>
      <c r="N53" s="25"/>
      <c r="O53" s="25"/>
      <c r="P53" s="25"/>
      <c r="Q53" s="25"/>
      <c r="R53" s="25"/>
      <c r="S53" s="57"/>
      <c r="T53" s="57"/>
      <c r="U53" s="57"/>
      <c r="V53" s="57"/>
      <c r="W53" s="57"/>
      <c r="X53" s="57"/>
      <c r="Y53" s="57"/>
      <c r="Z53" s="57"/>
      <c r="AA53" s="57"/>
      <c r="AB53" s="57"/>
      <c r="AC53" s="57"/>
      <c r="AD53" s="57"/>
      <c r="AE53" s="57"/>
      <c r="AF53" s="57"/>
      <c r="AG53" s="57"/>
      <c r="AH53" s="57"/>
      <c r="AI53" s="57"/>
      <c r="AJ53" s="57"/>
      <c r="AK53" s="57"/>
      <c r="AL53" s="57"/>
      <c r="AM53" s="57"/>
      <c r="AN53" s="57"/>
      <c r="AO53" s="57"/>
      <c r="AP53" s="57"/>
      <c r="AQ53" s="57"/>
      <c r="AR53" s="57"/>
      <c r="AS53" s="57"/>
      <c r="AT53" s="57"/>
      <c r="AU53" s="57"/>
      <c r="AV53" s="57"/>
      <c r="AW53" s="57"/>
      <c r="AX53" s="57"/>
      <c r="AY53" s="57"/>
      <c r="AZ53" s="57"/>
      <c r="BA53" s="57"/>
      <c r="BB53" s="57"/>
    </row>
    <row r="54" spans="1:54" s="60" customFormat="1" ht="21.6" x14ac:dyDescent="0.25">
      <c r="A54" s="59"/>
      <c r="B54" s="65"/>
      <c r="C54" s="113"/>
      <c r="D54" s="7" t="s">
        <v>77</v>
      </c>
      <c r="E54" s="115"/>
      <c r="F54" s="26"/>
      <c r="G54" s="27"/>
      <c r="H54" s="25"/>
      <c r="I54" s="25"/>
      <c r="J54" s="25"/>
      <c r="K54" s="25"/>
      <c r="L54" s="25"/>
      <c r="M54" s="25"/>
      <c r="N54" s="25"/>
      <c r="O54" s="25"/>
      <c r="P54" s="25"/>
      <c r="Q54" s="25"/>
      <c r="R54" s="25"/>
      <c r="S54" s="57"/>
      <c r="T54" s="57"/>
      <c r="U54" s="57"/>
      <c r="V54" s="57"/>
      <c r="W54" s="57"/>
      <c r="X54" s="57"/>
      <c r="Y54" s="57"/>
      <c r="Z54" s="57"/>
      <c r="AA54" s="57"/>
      <c r="AB54" s="57"/>
      <c r="AC54" s="57"/>
      <c r="AD54" s="57"/>
      <c r="AE54" s="57"/>
      <c r="AF54" s="57"/>
      <c r="AG54" s="57"/>
      <c r="AH54" s="57"/>
      <c r="AI54" s="57"/>
      <c r="AJ54" s="57"/>
      <c r="AK54" s="57"/>
      <c r="AL54" s="57"/>
      <c r="AM54" s="57"/>
      <c r="AN54" s="57"/>
      <c r="AO54" s="57"/>
      <c r="AP54" s="57"/>
      <c r="AQ54" s="57"/>
      <c r="AR54" s="57"/>
      <c r="AS54" s="57"/>
      <c r="AT54" s="57"/>
      <c r="AU54" s="57"/>
      <c r="AV54" s="57"/>
      <c r="AW54" s="57"/>
      <c r="AX54" s="57"/>
      <c r="AY54" s="57"/>
      <c r="AZ54" s="57"/>
      <c r="BA54" s="57"/>
      <c r="BB54" s="57"/>
    </row>
    <row r="55" spans="1:54" s="60" customFormat="1" ht="21.6" x14ac:dyDescent="0.25">
      <c r="A55" s="59"/>
      <c r="B55" s="65"/>
      <c r="C55" s="75"/>
      <c r="D55" s="24"/>
      <c r="E55" s="115"/>
      <c r="F55" s="27"/>
      <c r="G55" s="27"/>
      <c r="H55" s="25"/>
      <c r="I55" s="25"/>
      <c r="J55" s="25"/>
      <c r="K55" s="25"/>
      <c r="L55" s="25"/>
      <c r="M55" s="25"/>
      <c r="N55" s="25"/>
      <c r="O55" s="25"/>
      <c r="P55" s="25"/>
      <c r="Q55" s="25"/>
      <c r="R55" s="25"/>
      <c r="S55" s="57"/>
      <c r="T55" s="57"/>
      <c r="U55" s="57"/>
      <c r="V55" s="57"/>
      <c r="W55" s="57"/>
      <c r="X55" s="57"/>
      <c r="Y55" s="57"/>
      <c r="Z55" s="57"/>
      <c r="AA55" s="57"/>
      <c r="AB55" s="57"/>
      <c r="AC55" s="57"/>
      <c r="AD55" s="57"/>
      <c r="AE55" s="57"/>
      <c r="AF55" s="57"/>
      <c r="AG55" s="57"/>
      <c r="AH55" s="57"/>
      <c r="AI55" s="57"/>
      <c r="AJ55" s="57"/>
      <c r="AK55" s="57"/>
      <c r="AL55" s="57"/>
      <c r="AM55" s="57"/>
      <c r="AN55" s="57"/>
      <c r="AO55" s="57"/>
      <c r="AP55" s="57"/>
      <c r="AQ55" s="57"/>
      <c r="AR55" s="57"/>
      <c r="AS55" s="57"/>
      <c r="AT55" s="57"/>
      <c r="AU55" s="57"/>
      <c r="AV55" s="57"/>
      <c r="AW55" s="57"/>
      <c r="AX55" s="57"/>
      <c r="AY55" s="57"/>
      <c r="AZ55" s="57"/>
      <c r="BA55" s="57"/>
      <c r="BB55" s="57"/>
    </row>
    <row r="56" spans="1:54" s="60" customFormat="1" ht="21.6" x14ac:dyDescent="0.25">
      <c r="A56" s="59"/>
      <c r="B56" s="65"/>
      <c r="C56" s="113">
        <v>17</v>
      </c>
      <c r="D56" s="7" t="s">
        <v>78</v>
      </c>
      <c r="E56" s="115"/>
      <c r="F56" s="26"/>
      <c r="G56" s="27"/>
      <c r="H56" s="25"/>
      <c r="I56" s="25"/>
      <c r="J56" s="25"/>
      <c r="K56" s="25"/>
      <c r="L56" s="25"/>
      <c r="M56" s="25"/>
      <c r="N56" s="25"/>
      <c r="O56" s="25"/>
      <c r="P56" s="25"/>
      <c r="Q56" s="25"/>
      <c r="R56" s="25"/>
      <c r="S56" s="57"/>
      <c r="T56" s="57"/>
      <c r="U56" s="57"/>
      <c r="V56" s="57"/>
      <c r="W56" s="57"/>
      <c r="X56" s="57"/>
      <c r="Y56" s="57"/>
      <c r="Z56" s="57"/>
      <c r="AA56" s="57"/>
      <c r="AB56" s="57"/>
      <c r="AC56" s="57"/>
      <c r="AD56" s="57"/>
      <c r="AE56" s="57"/>
      <c r="AF56" s="57"/>
      <c r="AG56" s="57"/>
      <c r="AH56" s="57"/>
      <c r="AI56" s="57"/>
      <c r="AJ56" s="57"/>
      <c r="AK56" s="57"/>
      <c r="AL56" s="57"/>
      <c r="AM56" s="57"/>
      <c r="AN56" s="57"/>
      <c r="AO56" s="57"/>
      <c r="AP56" s="57"/>
      <c r="AQ56" s="57"/>
      <c r="AR56" s="57"/>
      <c r="AS56" s="57"/>
      <c r="AT56" s="57"/>
      <c r="AU56" s="57"/>
      <c r="AV56" s="57"/>
      <c r="AW56" s="57"/>
      <c r="AX56" s="57"/>
      <c r="AY56" s="57"/>
      <c r="AZ56" s="57"/>
      <c r="BA56" s="57"/>
      <c r="BB56" s="57"/>
    </row>
    <row r="57" spans="1:54" s="60" customFormat="1" ht="21.6" x14ac:dyDescent="0.25">
      <c r="A57" s="59"/>
      <c r="B57" s="65"/>
      <c r="C57" s="113"/>
      <c r="D57" s="7" t="s">
        <v>79</v>
      </c>
      <c r="E57" s="115"/>
      <c r="F57" s="26"/>
      <c r="G57" s="27"/>
      <c r="H57" s="25"/>
      <c r="I57" s="25"/>
      <c r="J57" s="25"/>
      <c r="K57" s="25"/>
      <c r="L57" s="25"/>
      <c r="M57" s="25"/>
      <c r="N57" s="25"/>
      <c r="O57" s="25"/>
      <c r="P57" s="25"/>
      <c r="Q57" s="25"/>
      <c r="R57" s="25"/>
      <c r="S57" s="57"/>
      <c r="T57" s="57"/>
      <c r="U57" s="57"/>
      <c r="V57" s="57"/>
      <c r="W57" s="57"/>
      <c r="X57" s="57"/>
      <c r="Y57" s="57"/>
      <c r="Z57" s="57"/>
      <c r="AA57" s="57"/>
      <c r="AB57" s="57"/>
      <c r="AC57" s="57"/>
      <c r="AD57" s="57"/>
      <c r="AE57" s="57"/>
      <c r="AF57" s="57"/>
      <c r="AG57" s="57"/>
      <c r="AH57" s="57"/>
      <c r="AI57" s="57"/>
      <c r="AJ57" s="57"/>
      <c r="AK57" s="57"/>
      <c r="AL57" s="57"/>
      <c r="AM57" s="57"/>
      <c r="AN57" s="57"/>
      <c r="AO57" s="57"/>
      <c r="AP57" s="57"/>
      <c r="AQ57" s="57"/>
      <c r="AR57" s="57"/>
      <c r="AS57" s="57"/>
      <c r="AT57" s="57"/>
      <c r="AU57" s="57"/>
      <c r="AV57" s="57"/>
      <c r="AW57" s="57"/>
      <c r="AX57" s="57"/>
      <c r="AY57" s="57"/>
      <c r="AZ57" s="57"/>
      <c r="BA57" s="57"/>
      <c r="BB57" s="57"/>
    </row>
    <row r="58" spans="1:54" s="60" customFormat="1" ht="21.6" x14ac:dyDescent="0.25">
      <c r="A58" s="59"/>
      <c r="B58" s="65"/>
      <c r="C58" s="75"/>
      <c r="D58" s="24"/>
      <c r="E58" s="115"/>
      <c r="F58" s="27"/>
      <c r="G58" s="27"/>
      <c r="H58" s="25"/>
      <c r="I58" s="25"/>
      <c r="J58" s="25"/>
      <c r="K58" s="25"/>
      <c r="L58" s="25"/>
      <c r="M58" s="25"/>
      <c r="N58" s="25"/>
      <c r="O58" s="25"/>
      <c r="P58" s="25"/>
      <c r="Q58" s="25"/>
      <c r="R58" s="25"/>
      <c r="S58" s="57"/>
      <c r="T58" s="57"/>
      <c r="U58" s="57"/>
      <c r="V58" s="57"/>
      <c r="W58" s="57"/>
      <c r="X58" s="57"/>
      <c r="Y58" s="57"/>
      <c r="Z58" s="57"/>
      <c r="AA58" s="57"/>
      <c r="AB58" s="57"/>
      <c r="AC58" s="57"/>
      <c r="AD58" s="57"/>
      <c r="AE58" s="57"/>
      <c r="AF58" s="57"/>
      <c r="AG58" s="57"/>
      <c r="AH58" s="57"/>
      <c r="AI58" s="57"/>
      <c r="AJ58" s="57"/>
      <c r="AK58" s="57"/>
      <c r="AL58" s="57"/>
      <c r="AM58" s="57"/>
      <c r="AN58" s="57"/>
      <c r="AO58" s="57"/>
      <c r="AP58" s="57"/>
      <c r="AQ58" s="57"/>
      <c r="AR58" s="57"/>
      <c r="AS58" s="57"/>
      <c r="AT58" s="57"/>
      <c r="AU58" s="57"/>
      <c r="AV58" s="57"/>
      <c r="AW58" s="57"/>
      <c r="AX58" s="57"/>
      <c r="AY58" s="57"/>
      <c r="AZ58" s="57"/>
      <c r="BA58" s="57"/>
      <c r="BB58" s="57"/>
    </row>
    <row r="59" spans="1:54" s="60" customFormat="1" ht="21.6" x14ac:dyDescent="0.25">
      <c r="A59" s="59"/>
      <c r="B59" s="65"/>
      <c r="C59" s="113">
        <v>18</v>
      </c>
      <c r="D59" s="7" t="s">
        <v>80</v>
      </c>
      <c r="E59" s="115"/>
      <c r="F59" s="26"/>
      <c r="G59" s="27"/>
      <c r="H59" s="25"/>
      <c r="I59" s="25"/>
      <c r="J59" s="25"/>
      <c r="K59" s="25"/>
      <c r="L59" s="25"/>
      <c r="M59" s="25"/>
      <c r="N59" s="25"/>
      <c r="O59" s="25"/>
      <c r="P59" s="25"/>
      <c r="Q59" s="25"/>
      <c r="R59" s="25"/>
      <c r="S59" s="57"/>
      <c r="T59" s="57"/>
      <c r="U59" s="57"/>
      <c r="V59" s="57"/>
      <c r="W59" s="57"/>
      <c r="X59" s="57"/>
      <c r="Y59" s="57"/>
      <c r="Z59" s="57"/>
      <c r="AA59" s="57"/>
      <c r="AB59" s="57"/>
      <c r="AC59" s="57"/>
      <c r="AD59" s="57"/>
      <c r="AE59" s="57"/>
      <c r="AF59" s="57"/>
      <c r="AG59" s="57"/>
      <c r="AH59" s="57"/>
      <c r="AI59" s="57"/>
      <c r="AJ59" s="57"/>
      <c r="AK59" s="57"/>
      <c r="AL59" s="57"/>
      <c r="AM59" s="57"/>
      <c r="AN59" s="57"/>
      <c r="AO59" s="57"/>
      <c r="AP59" s="57"/>
      <c r="AQ59" s="57"/>
      <c r="AR59" s="57"/>
      <c r="AS59" s="57"/>
      <c r="AT59" s="57"/>
      <c r="AU59" s="57"/>
      <c r="AV59" s="57"/>
      <c r="AW59" s="57"/>
      <c r="AX59" s="57"/>
      <c r="AY59" s="57"/>
      <c r="AZ59" s="57"/>
      <c r="BA59" s="57"/>
      <c r="BB59" s="57"/>
    </row>
    <row r="60" spans="1:54" s="60" customFormat="1" ht="21.6" x14ac:dyDescent="0.25">
      <c r="A60" s="59"/>
      <c r="B60" s="65"/>
      <c r="C60" s="113"/>
      <c r="D60" s="7" t="s">
        <v>81</v>
      </c>
      <c r="E60" s="115"/>
      <c r="F60" s="26"/>
      <c r="G60" s="27"/>
      <c r="H60" s="25"/>
      <c r="I60" s="25"/>
      <c r="J60" s="25"/>
      <c r="K60" s="25"/>
      <c r="L60" s="25"/>
      <c r="M60" s="25"/>
      <c r="N60" s="25"/>
      <c r="O60" s="25"/>
      <c r="P60" s="25"/>
      <c r="Q60" s="25"/>
      <c r="R60" s="25"/>
      <c r="S60" s="57"/>
      <c r="T60" s="57"/>
      <c r="U60" s="57"/>
      <c r="V60" s="57"/>
      <c r="W60" s="57"/>
      <c r="X60" s="57"/>
      <c r="Y60" s="57"/>
      <c r="Z60" s="57"/>
      <c r="AA60" s="57"/>
      <c r="AB60" s="57"/>
      <c r="AC60" s="57"/>
      <c r="AD60" s="57"/>
      <c r="AE60" s="57"/>
      <c r="AF60" s="57"/>
      <c r="AG60" s="57"/>
      <c r="AH60" s="57"/>
      <c r="AI60" s="57"/>
      <c r="AJ60" s="57"/>
      <c r="AK60" s="57"/>
      <c r="AL60" s="57"/>
      <c r="AM60" s="57"/>
      <c r="AN60" s="57"/>
      <c r="AO60" s="57"/>
      <c r="AP60" s="57"/>
      <c r="AQ60" s="57"/>
      <c r="AR60" s="57"/>
      <c r="AS60" s="57"/>
      <c r="AT60" s="57"/>
      <c r="AU60" s="57"/>
      <c r="AV60" s="57"/>
      <c r="AW60" s="57"/>
      <c r="AX60" s="57"/>
      <c r="AY60" s="57"/>
      <c r="AZ60" s="57"/>
      <c r="BA60" s="57"/>
      <c r="BB60" s="57"/>
    </row>
    <row r="61" spans="1:54" s="60" customFormat="1" ht="21.6" x14ac:dyDescent="0.25">
      <c r="A61" s="59"/>
      <c r="B61" s="65"/>
      <c r="C61" s="75"/>
      <c r="D61" s="24"/>
      <c r="E61" s="115"/>
      <c r="F61" s="27"/>
      <c r="G61" s="27"/>
      <c r="H61" s="25"/>
      <c r="I61" s="25"/>
      <c r="J61" s="25"/>
      <c r="K61" s="25"/>
      <c r="L61" s="25"/>
      <c r="M61" s="25"/>
      <c r="N61" s="25"/>
      <c r="O61" s="25"/>
      <c r="P61" s="25"/>
      <c r="Q61" s="25"/>
      <c r="R61" s="25"/>
      <c r="S61" s="57"/>
      <c r="T61" s="57"/>
      <c r="U61" s="57"/>
      <c r="V61" s="57"/>
      <c r="W61" s="57"/>
      <c r="X61" s="57"/>
      <c r="Y61" s="57"/>
      <c r="Z61" s="57"/>
      <c r="AA61" s="57"/>
      <c r="AB61" s="57"/>
      <c r="AC61" s="57"/>
      <c r="AD61" s="57"/>
      <c r="AE61" s="57"/>
      <c r="AF61" s="57"/>
      <c r="AG61" s="57"/>
      <c r="AH61" s="57"/>
      <c r="AI61" s="57"/>
      <c r="AJ61" s="57"/>
      <c r="AK61" s="57"/>
      <c r="AL61" s="57"/>
      <c r="AM61" s="57"/>
      <c r="AN61" s="57"/>
      <c r="AO61" s="57"/>
      <c r="AP61" s="57"/>
      <c r="AQ61" s="57"/>
      <c r="AR61" s="57"/>
      <c r="AS61" s="57"/>
      <c r="AT61" s="57"/>
      <c r="AU61" s="57"/>
      <c r="AV61" s="57"/>
      <c r="AW61" s="57"/>
      <c r="AX61" s="57"/>
      <c r="AY61" s="57"/>
      <c r="AZ61" s="57"/>
      <c r="BA61" s="57"/>
      <c r="BB61" s="57"/>
    </row>
    <row r="62" spans="1:54" s="60" customFormat="1" ht="21.6" x14ac:dyDescent="0.25">
      <c r="A62" s="59"/>
      <c r="B62" s="65"/>
      <c r="C62" s="113">
        <v>19</v>
      </c>
      <c r="D62" s="7" t="s">
        <v>82</v>
      </c>
      <c r="E62" s="115"/>
      <c r="F62" s="26"/>
      <c r="G62" s="27"/>
      <c r="H62" s="25"/>
      <c r="I62" s="25"/>
      <c r="J62" s="25"/>
      <c r="K62" s="25"/>
      <c r="L62" s="25"/>
      <c r="M62" s="25"/>
      <c r="N62" s="25"/>
      <c r="O62" s="25"/>
      <c r="P62" s="25"/>
      <c r="Q62" s="25"/>
      <c r="R62" s="25"/>
      <c r="S62" s="57"/>
      <c r="T62" s="57"/>
      <c r="U62" s="57"/>
      <c r="V62" s="57"/>
      <c r="W62" s="57"/>
      <c r="X62" s="57"/>
      <c r="Y62" s="57"/>
      <c r="Z62" s="57"/>
      <c r="AA62" s="57"/>
      <c r="AB62" s="57"/>
      <c r="AC62" s="57"/>
      <c r="AD62" s="57"/>
      <c r="AE62" s="57"/>
      <c r="AF62" s="57"/>
      <c r="AG62" s="57"/>
      <c r="AH62" s="57"/>
      <c r="AI62" s="57"/>
      <c r="AJ62" s="57"/>
      <c r="AK62" s="57"/>
      <c r="AL62" s="57"/>
      <c r="AM62" s="57"/>
      <c r="AN62" s="57"/>
      <c r="AO62" s="57"/>
      <c r="AP62" s="57"/>
      <c r="AQ62" s="57"/>
      <c r="AR62" s="57"/>
      <c r="AS62" s="57"/>
      <c r="AT62" s="57"/>
      <c r="AU62" s="57"/>
      <c r="AV62" s="57"/>
      <c r="AW62" s="57"/>
      <c r="AX62" s="57"/>
      <c r="AY62" s="57"/>
      <c r="AZ62" s="57"/>
      <c r="BA62" s="57"/>
      <c r="BB62" s="57"/>
    </row>
    <row r="63" spans="1:54" s="60" customFormat="1" ht="21.6" x14ac:dyDescent="0.25">
      <c r="A63" s="59"/>
      <c r="B63" s="65"/>
      <c r="C63" s="113"/>
      <c r="D63" s="7" t="s">
        <v>83</v>
      </c>
      <c r="E63" s="115"/>
      <c r="F63" s="26"/>
      <c r="G63" s="27"/>
      <c r="H63" s="25"/>
      <c r="I63" s="25"/>
      <c r="J63" s="25"/>
      <c r="K63" s="25"/>
      <c r="L63" s="25"/>
      <c r="M63" s="25"/>
      <c r="N63" s="25"/>
      <c r="O63" s="25"/>
      <c r="P63" s="25"/>
      <c r="Q63" s="25"/>
      <c r="R63" s="25"/>
      <c r="S63" s="57"/>
      <c r="T63" s="57"/>
      <c r="U63" s="57"/>
      <c r="V63" s="57"/>
      <c r="W63" s="57"/>
      <c r="X63" s="57"/>
      <c r="Y63" s="57"/>
      <c r="Z63" s="57"/>
      <c r="AA63" s="57"/>
      <c r="AB63" s="57"/>
      <c r="AC63" s="57"/>
      <c r="AD63" s="57"/>
      <c r="AE63" s="57"/>
      <c r="AF63" s="57"/>
      <c r="AG63" s="57"/>
      <c r="AH63" s="57"/>
      <c r="AI63" s="57"/>
      <c r="AJ63" s="57"/>
      <c r="AK63" s="57"/>
      <c r="AL63" s="57"/>
      <c r="AM63" s="57"/>
      <c r="AN63" s="57"/>
      <c r="AO63" s="57"/>
      <c r="AP63" s="57"/>
      <c r="AQ63" s="57"/>
      <c r="AR63" s="57"/>
      <c r="AS63" s="57"/>
      <c r="AT63" s="57"/>
      <c r="AU63" s="57"/>
      <c r="AV63" s="57"/>
      <c r="AW63" s="57"/>
      <c r="AX63" s="57"/>
      <c r="AY63" s="57"/>
      <c r="AZ63" s="57"/>
      <c r="BA63" s="57"/>
      <c r="BB63" s="57"/>
    </row>
    <row r="64" spans="1:54" s="60" customFormat="1" ht="21.6" x14ac:dyDescent="0.25">
      <c r="A64" s="59"/>
      <c r="B64" s="65"/>
      <c r="C64" s="75"/>
      <c r="D64" s="24"/>
      <c r="E64" s="115"/>
      <c r="F64" s="27"/>
      <c r="G64" s="27"/>
      <c r="H64" s="25"/>
      <c r="I64" s="25"/>
      <c r="J64" s="25"/>
      <c r="K64" s="25"/>
      <c r="L64" s="25"/>
      <c r="M64" s="25"/>
      <c r="N64" s="25"/>
      <c r="O64" s="25"/>
      <c r="P64" s="25"/>
      <c r="Q64" s="25"/>
      <c r="R64" s="25"/>
      <c r="S64" s="57"/>
      <c r="T64" s="57"/>
      <c r="U64" s="57"/>
      <c r="V64" s="57"/>
      <c r="W64" s="57"/>
      <c r="X64" s="57"/>
      <c r="Y64" s="57"/>
      <c r="Z64" s="57"/>
      <c r="AA64" s="57"/>
      <c r="AB64" s="57"/>
      <c r="AC64" s="57"/>
      <c r="AD64" s="57"/>
      <c r="AE64" s="57"/>
      <c r="AF64" s="57"/>
      <c r="AG64" s="57"/>
      <c r="AH64" s="57"/>
      <c r="AI64" s="57"/>
      <c r="AJ64" s="57"/>
      <c r="AK64" s="57"/>
      <c r="AL64" s="57"/>
      <c r="AM64" s="57"/>
      <c r="AN64" s="57"/>
      <c r="AO64" s="57"/>
      <c r="AP64" s="57"/>
      <c r="AQ64" s="57"/>
      <c r="AR64" s="57"/>
      <c r="AS64" s="57"/>
      <c r="AT64" s="57"/>
      <c r="AU64" s="57"/>
      <c r="AV64" s="57"/>
      <c r="AW64" s="57"/>
      <c r="AX64" s="57"/>
      <c r="AY64" s="57"/>
      <c r="AZ64" s="57"/>
      <c r="BA64" s="57"/>
      <c r="BB64" s="57"/>
    </row>
    <row r="65" spans="1:54" s="60" customFormat="1" ht="20.25" customHeight="1" x14ac:dyDescent="0.25">
      <c r="A65" s="59"/>
      <c r="B65" s="65"/>
      <c r="C65" s="113">
        <v>20</v>
      </c>
      <c r="D65" s="7" t="s">
        <v>84</v>
      </c>
      <c r="E65" s="115"/>
      <c r="F65" s="26"/>
      <c r="G65" s="27"/>
      <c r="H65" s="25"/>
      <c r="I65" s="25"/>
      <c r="J65" s="25"/>
      <c r="K65" s="25"/>
      <c r="L65" s="25"/>
      <c r="M65" s="25"/>
      <c r="N65" s="25"/>
      <c r="O65" s="25"/>
      <c r="P65" s="25"/>
      <c r="Q65" s="25"/>
      <c r="R65" s="25"/>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7"/>
      <c r="AZ65" s="57"/>
      <c r="BA65" s="57"/>
      <c r="BB65" s="57"/>
    </row>
    <row r="66" spans="1:54" s="60" customFormat="1" ht="21.6" x14ac:dyDescent="0.25">
      <c r="A66" s="59"/>
      <c r="B66" s="65"/>
      <c r="C66" s="113"/>
      <c r="D66" s="7" t="s">
        <v>85</v>
      </c>
      <c r="E66" s="115"/>
      <c r="F66" s="26"/>
      <c r="G66" s="27"/>
      <c r="H66" s="25"/>
      <c r="I66" s="25"/>
      <c r="J66" s="25"/>
      <c r="K66" s="25"/>
      <c r="L66" s="25"/>
      <c r="M66" s="25"/>
      <c r="N66" s="25"/>
      <c r="O66" s="25"/>
      <c r="P66" s="25"/>
      <c r="Q66" s="25"/>
      <c r="R66" s="25"/>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row>
    <row r="67" spans="1:54" s="60" customFormat="1" ht="21.6" x14ac:dyDescent="0.25">
      <c r="A67" s="59"/>
      <c r="B67" s="65"/>
      <c r="C67" s="75"/>
      <c r="D67" s="24"/>
      <c r="E67" s="115"/>
      <c r="F67" s="27"/>
      <c r="G67" s="27"/>
      <c r="H67" s="25"/>
      <c r="I67" s="25"/>
      <c r="J67" s="25"/>
      <c r="K67" s="25"/>
      <c r="L67" s="25"/>
      <c r="M67" s="25"/>
      <c r="N67" s="25"/>
      <c r="O67" s="25"/>
      <c r="P67" s="25"/>
      <c r="Q67" s="25"/>
      <c r="R67" s="25"/>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7"/>
      <c r="AZ67" s="57"/>
      <c r="BA67" s="57"/>
      <c r="BB67" s="57"/>
    </row>
    <row r="68" spans="1:54" s="60" customFormat="1" ht="21.6" x14ac:dyDescent="0.25">
      <c r="A68" s="59"/>
      <c r="B68" s="65"/>
      <c r="C68" s="113">
        <v>21</v>
      </c>
      <c r="D68" s="7" t="s">
        <v>86</v>
      </c>
      <c r="E68" s="115"/>
      <c r="F68" s="26"/>
      <c r="G68" s="27"/>
      <c r="H68" s="25"/>
      <c r="I68" s="25"/>
      <c r="J68" s="25"/>
      <c r="K68" s="25"/>
      <c r="L68" s="25"/>
      <c r="M68" s="25"/>
      <c r="N68" s="25"/>
      <c r="O68" s="25"/>
      <c r="P68" s="25"/>
      <c r="Q68" s="25"/>
      <c r="R68" s="25"/>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row>
    <row r="69" spans="1:54" s="60" customFormat="1" ht="21.6" x14ac:dyDescent="0.25">
      <c r="A69" s="59"/>
      <c r="B69" s="65"/>
      <c r="C69" s="113"/>
      <c r="D69" s="7" t="s">
        <v>87</v>
      </c>
      <c r="E69" s="115"/>
      <c r="F69" s="26"/>
      <c r="G69" s="27"/>
      <c r="H69" s="25"/>
      <c r="I69" s="25"/>
      <c r="J69" s="25"/>
      <c r="K69" s="25"/>
      <c r="L69" s="25"/>
      <c r="M69" s="25"/>
      <c r="N69" s="25"/>
      <c r="O69" s="25"/>
      <c r="P69" s="25"/>
      <c r="Q69" s="25"/>
      <c r="R69" s="25"/>
      <c r="S69" s="57"/>
      <c r="T69" s="57"/>
      <c r="U69" s="57"/>
      <c r="V69" s="57"/>
      <c r="W69" s="57"/>
      <c r="X69" s="57"/>
      <c r="Y69" s="57"/>
      <c r="Z69" s="57"/>
      <c r="AA69" s="57"/>
      <c r="AB69" s="57"/>
      <c r="AC69" s="57"/>
      <c r="AD69" s="57"/>
      <c r="AE69" s="57"/>
      <c r="AF69" s="57"/>
      <c r="AG69" s="57"/>
      <c r="AH69" s="57"/>
      <c r="AI69" s="57"/>
      <c r="AJ69" s="57"/>
      <c r="AK69" s="57"/>
      <c r="AL69" s="57"/>
      <c r="AM69" s="57"/>
      <c r="AN69" s="57"/>
      <c r="AO69" s="57"/>
      <c r="AP69" s="57"/>
      <c r="AQ69" s="57"/>
      <c r="AR69" s="57"/>
      <c r="AS69" s="57"/>
      <c r="AT69" s="57"/>
      <c r="AU69" s="57"/>
      <c r="AV69" s="57"/>
      <c r="AW69" s="57"/>
      <c r="AX69" s="57"/>
      <c r="AY69" s="57"/>
      <c r="AZ69" s="57"/>
      <c r="BA69" s="57"/>
      <c r="BB69" s="57"/>
    </row>
    <row r="70" spans="1:54" s="60" customFormat="1" ht="21.6" x14ac:dyDescent="0.25">
      <c r="A70" s="59"/>
      <c r="B70" s="65"/>
      <c r="C70" s="75"/>
      <c r="D70" s="24"/>
      <c r="E70" s="115"/>
      <c r="F70" s="27"/>
      <c r="G70" s="27"/>
      <c r="H70" s="25"/>
      <c r="I70" s="25"/>
      <c r="J70" s="25"/>
      <c r="K70" s="25"/>
      <c r="L70" s="25"/>
      <c r="M70" s="25"/>
      <c r="N70" s="25"/>
      <c r="O70" s="25"/>
      <c r="P70" s="25"/>
      <c r="Q70" s="25"/>
      <c r="R70" s="25"/>
      <c r="S70" s="57"/>
      <c r="T70" s="57"/>
      <c r="U70" s="57"/>
      <c r="V70" s="57"/>
      <c r="W70" s="57"/>
      <c r="X70" s="57"/>
      <c r="Y70" s="57"/>
      <c r="Z70" s="57"/>
      <c r="AA70" s="57"/>
      <c r="AB70" s="57"/>
      <c r="AC70" s="57"/>
      <c r="AD70" s="57"/>
      <c r="AE70" s="57"/>
      <c r="AF70" s="57"/>
      <c r="AG70" s="57"/>
      <c r="AH70" s="57"/>
      <c r="AI70" s="57"/>
      <c r="AJ70" s="57"/>
      <c r="AK70" s="57"/>
      <c r="AL70" s="57"/>
      <c r="AM70" s="57"/>
      <c r="AN70" s="57"/>
      <c r="AO70" s="57"/>
      <c r="AP70" s="57"/>
      <c r="AQ70" s="57"/>
      <c r="AR70" s="57"/>
      <c r="AS70" s="57"/>
      <c r="AT70" s="57"/>
      <c r="AU70" s="57"/>
      <c r="AV70" s="57"/>
      <c r="AW70" s="57"/>
      <c r="AX70" s="57"/>
      <c r="AY70" s="57"/>
      <c r="AZ70" s="57"/>
      <c r="BA70" s="57"/>
      <c r="BB70" s="57"/>
    </row>
    <row r="71" spans="1:54" s="60" customFormat="1" ht="21.6" x14ac:dyDescent="0.25">
      <c r="A71" s="59"/>
      <c r="B71" s="65"/>
      <c r="C71" s="113">
        <v>22</v>
      </c>
      <c r="D71" s="7" t="s">
        <v>88</v>
      </c>
      <c r="E71" s="115"/>
      <c r="F71" s="26"/>
      <c r="G71" s="27"/>
      <c r="H71" s="25"/>
      <c r="I71" s="25"/>
      <c r="J71" s="25"/>
      <c r="K71" s="25"/>
      <c r="L71" s="25"/>
      <c r="M71" s="25"/>
      <c r="N71" s="25"/>
      <c r="O71" s="25"/>
      <c r="P71" s="25"/>
      <c r="Q71" s="25"/>
      <c r="R71" s="25"/>
      <c r="S71" s="57"/>
      <c r="T71" s="57"/>
      <c r="U71" s="57"/>
      <c r="V71" s="57"/>
      <c r="W71" s="57"/>
      <c r="X71" s="57"/>
      <c r="Y71" s="57"/>
      <c r="Z71" s="57"/>
      <c r="AA71" s="57"/>
      <c r="AB71" s="57"/>
      <c r="AC71" s="57"/>
      <c r="AD71" s="57"/>
      <c r="AE71" s="57"/>
      <c r="AF71" s="57"/>
      <c r="AG71" s="57"/>
      <c r="AH71" s="57"/>
      <c r="AI71" s="57"/>
      <c r="AJ71" s="57"/>
      <c r="AK71" s="57"/>
      <c r="AL71" s="57"/>
      <c r="AM71" s="57"/>
      <c r="AN71" s="57"/>
      <c r="AO71" s="57"/>
      <c r="AP71" s="57"/>
      <c r="AQ71" s="57"/>
      <c r="AR71" s="57"/>
      <c r="AS71" s="57"/>
      <c r="AT71" s="57"/>
      <c r="AU71" s="57"/>
      <c r="AV71" s="57"/>
      <c r="AW71" s="57"/>
      <c r="AX71" s="57"/>
      <c r="AY71" s="57"/>
      <c r="AZ71" s="57"/>
      <c r="BA71" s="57"/>
      <c r="BB71" s="57"/>
    </row>
    <row r="72" spans="1:54" s="60" customFormat="1" ht="21.6" x14ac:dyDescent="0.25">
      <c r="A72" s="59"/>
      <c r="B72" s="65"/>
      <c r="C72" s="113"/>
      <c r="D72" s="7" t="s">
        <v>89</v>
      </c>
      <c r="E72" s="115"/>
      <c r="F72" s="26"/>
      <c r="G72" s="27"/>
      <c r="H72" s="25"/>
      <c r="I72" s="25"/>
      <c r="J72" s="25"/>
      <c r="K72" s="25"/>
      <c r="L72" s="25"/>
      <c r="M72" s="25"/>
      <c r="N72" s="25"/>
      <c r="O72" s="25"/>
      <c r="P72" s="25"/>
      <c r="Q72" s="25"/>
      <c r="R72" s="25"/>
      <c r="S72" s="57"/>
      <c r="T72" s="57"/>
      <c r="U72" s="57"/>
      <c r="V72" s="57"/>
      <c r="W72" s="57"/>
      <c r="X72" s="57"/>
      <c r="Y72" s="57"/>
      <c r="Z72" s="57"/>
      <c r="AA72" s="57"/>
      <c r="AB72" s="57"/>
      <c r="AC72" s="57"/>
      <c r="AD72" s="57"/>
      <c r="AE72" s="57"/>
      <c r="AF72" s="57"/>
      <c r="AG72" s="57"/>
      <c r="AH72" s="57"/>
      <c r="AI72" s="57"/>
      <c r="AJ72" s="57"/>
      <c r="AK72" s="57"/>
      <c r="AL72" s="57"/>
      <c r="AM72" s="57"/>
      <c r="AN72" s="57"/>
      <c r="AO72" s="57"/>
      <c r="AP72" s="57"/>
      <c r="AQ72" s="57"/>
      <c r="AR72" s="57"/>
      <c r="AS72" s="57"/>
      <c r="AT72" s="57"/>
      <c r="AU72" s="57"/>
      <c r="AV72" s="57"/>
      <c r="AW72" s="57"/>
      <c r="AX72" s="57"/>
      <c r="AY72" s="57"/>
      <c r="AZ72" s="57"/>
      <c r="BA72" s="57"/>
      <c r="BB72" s="57"/>
    </row>
    <row r="73" spans="1:54" s="60" customFormat="1" ht="21.6" x14ac:dyDescent="0.25">
      <c r="A73" s="59"/>
      <c r="B73" s="65"/>
      <c r="C73" s="75"/>
      <c r="D73" s="24"/>
      <c r="E73" s="115"/>
      <c r="F73" s="27"/>
      <c r="G73" s="27"/>
      <c r="H73" s="25"/>
      <c r="I73" s="25"/>
      <c r="J73" s="25"/>
      <c r="K73" s="25"/>
      <c r="L73" s="25"/>
      <c r="M73" s="25"/>
      <c r="N73" s="25"/>
      <c r="O73" s="25"/>
      <c r="P73" s="25"/>
      <c r="Q73" s="25"/>
      <c r="R73" s="25"/>
      <c r="S73" s="57"/>
      <c r="T73" s="57"/>
      <c r="U73" s="57"/>
      <c r="V73" s="57"/>
      <c r="W73" s="57"/>
      <c r="X73" s="57"/>
      <c r="Y73" s="57"/>
      <c r="Z73" s="57"/>
      <c r="AA73" s="57"/>
      <c r="AB73" s="57"/>
      <c r="AC73" s="57"/>
      <c r="AD73" s="57"/>
      <c r="AE73" s="57"/>
      <c r="AF73" s="57"/>
      <c r="AG73" s="57"/>
      <c r="AH73" s="57"/>
      <c r="AI73" s="57"/>
      <c r="AJ73" s="57"/>
      <c r="AK73" s="57"/>
      <c r="AL73" s="57"/>
      <c r="AM73" s="57"/>
      <c r="AN73" s="57"/>
      <c r="AO73" s="57"/>
      <c r="AP73" s="57"/>
      <c r="AQ73" s="57"/>
      <c r="AR73" s="57"/>
      <c r="AS73" s="57"/>
      <c r="AT73" s="57"/>
      <c r="AU73" s="57"/>
      <c r="AV73" s="57"/>
      <c r="AW73" s="57"/>
      <c r="AX73" s="57"/>
      <c r="AY73" s="57"/>
      <c r="AZ73" s="57"/>
      <c r="BA73" s="57"/>
      <c r="BB73" s="57"/>
    </row>
    <row r="74" spans="1:54" s="60" customFormat="1" ht="21.6" x14ac:dyDescent="0.25">
      <c r="A74" s="59"/>
      <c r="B74" s="65"/>
      <c r="C74" s="113">
        <v>23</v>
      </c>
      <c r="D74" s="7" t="s">
        <v>90</v>
      </c>
      <c r="E74" s="115"/>
      <c r="F74" s="26"/>
      <c r="G74" s="27"/>
      <c r="H74" s="25"/>
      <c r="I74" s="25"/>
      <c r="J74" s="25"/>
      <c r="K74" s="25"/>
      <c r="L74" s="25"/>
      <c r="M74" s="25"/>
      <c r="N74" s="25"/>
      <c r="O74" s="25"/>
      <c r="P74" s="25"/>
      <c r="Q74" s="25"/>
      <c r="R74" s="25"/>
      <c r="S74" s="57"/>
      <c r="T74" s="57"/>
      <c r="U74" s="57"/>
      <c r="V74" s="57"/>
      <c r="W74" s="57"/>
      <c r="X74" s="57"/>
      <c r="Y74" s="57"/>
      <c r="Z74" s="57"/>
      <c r="AA74" s="57"/>
      <c r="AB74" s="57"/>
      <c r="AC74" s="57"/>
      <c r="AD74" s="57"/>
      <c r="AE74" s="57"/>
      <c r="AF74" s="57"/>
      <c r="AG74" s="57"/>
      <c r="AH74" s="57"/>
      <c r="AI74" s="57"/>
      <c r="AJ74" s="57"/>
      <c r="AK74" s="57"/>
      <c r="AL74" s="57"/>
      <c r="AM74" s="57"/>
      <c r="AN74" s="57"/>
      <c r="AO74" s="57"/>
      <c r="AP74" s="57"/>
      <c r="AQ74" s="57"/>
      <c r="AR74" s="57"/>
      <c r="AS74" s="57"/>
      <c r="AT74" s="57"/>
      <c r="AU74" s="57"/>
      <c r="AV74" s="57"/>
      <c r="AW74" s="57"/>
      <c r="AX74" s="57"/>
      <c r="AY74" s="57"/>
      <c r="AZ74" s="57"/>
      <c r="BA74" s="57"/>
      <c r="BB74" s="57"/>
    </row>
    <row r="75" spans="1:54" s="60" customFormat="1" ht="21.6" x14ac:dyDescent="0.25">
      <c r="A75" s="59"/>
      <c r="B75" s="65"/>
      <c r="C75" s="113"/>
      <c r="D75" s="7" t="s">
        <v>91</v>
      </c>
      <c r="E75" s="115"/>
      <c r="F75" s="26"/>
      <c r="G75" s="27"/>
      <c r="H75" s="25"/>
      <c r="I75" s="25"/>
      <c r="J75" s="25"/>
      <c r="K75" s="25"/>
      <c r="L75" s="25"/>
      <c r="M75" s="25"/>
      <c r="N75" s="25"/>
      <c r="O75" s="25"/>
      <c r="P75" s="25"/>
      <c r="Q75" s="25"/>
      <c r="R75" s="25"/>
      <c r="S75" s="57"/>
      <c r="T75" s="57"/>
      <c r="U75" s="57"/>
      <c r="V75" s="57"/>
      <c r="W75" s="57"/>
      <c r="X75" s="57"/>
      <c r="Y75" s="57"/>
      <c r="Z75" s="57"/>
      <c r="AA75" s="57"/>
      <c r="AB75" s="57"/>
      <c r="AC75" s="57"/>
      <c r="AD75" s="57"/>
      <c r="AE75" s="57"/>
      <c r="AF75" s="57"/>
      <c r="AG75" s="57"/>
      <c r="AH75" s="57"/>
      <c r="AI75" s="57"/>
      <c r="AJ75" s="57"/>
      <c r="AK75" s="57"/>
      <c r="AL75" s="57"/>
      <c r="AM75" s="57"/>
      <c r="AN75" s="57"/>
      <c r="AO75" s="57"/>
      <c r="AP75" s="57"/>
      <c r="AQ75" s="57"/>
      <c r="AR75" s="57"/>
      <c r="AS75" s="57"/>
      <c r="AT75" s="57"/>
      <c r="AU75" s="57"/>
      <c r="AV75" s="57"/>
      <c r="AW75" s="57"/>
      <c r="AX75" s="57"/>
      <c r="AY75" s="57"/>
      <c r="AZ75" s="57"/>
      <c r="BA75" s="57"/>
      <c r="BB75" s="57"/>
    </row>
    <row r="76" spans="1:54" s="60" customFormat="1" ht="21.6" x14ac:dyDescent="0.25">
      <c r="A76" s="59"/>
      <c r="B76" s="65"/>
      <c r="C76" s="75"/>
      <c r="D76" s="24"/>
      <c r="E76" s="115"/>
      <c r="F76" s="27"/>
      <c r="G76" s="27"/>
      <c r="H76" s="25"/>
      <c r="I76" s="25"/>
      <c r="J76" s="25"/>
      <c r="K76" s="25"/>
      <c r="L76" s="25"/>
      <c r="M76" s="25"/>
      <c r="N76" s="25"/>
      <c r="O76" s="25"/>
      <c r="P76" s="25"/>
      <c r="Q76" s="25"/>
      <c r="R76" s="25"/>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7"/>
      <c r="AZ76" s="57"/>
      <c r="BA76" s="57"/>
      <c r="BB76" s="57"/>
    </row>
    <row r="77" spans="1:54" s="60" customFormat="1" ht="21.6" x14ac:dyDescent="0.25">
      <c r="A77" s="59"/>
      <c r="B77" s="65"/>
      <c r="C77" s="113">
        <v>24</v>
      </c>
      <c r="D77" s="7" t="s">
        <v>92</v>
      </c>
      <c r="E77" s="115"/>
      <c r="F77" s="26"/>
      <c r="G77" s="27"/>
      <c r="H77" s="25"/>
      <c r="I77" s="25"/>
      <c r="J77" s="25"/>
      <c r="K77" s="25"/>
      <c r="L77" s="25"/>
      <c r="M77" s="25"/>
      <c r="N77" s="25"/>
      <c r="O77" s="25"/>
      <c r="P77" s="25"/>
      <c r="Q77" s="25"/>
      <c r="R77" s="25"/>
      <c r="S77" s="57"/>
      <c r="T77" s="57"/>
      <c r="U77" s="57"/>
      <c r="V77" s="57"/>
      <c r="W77" s="57"/>
      <c r="X77" s="57"/>
      <c r="Y77" s="57"/>
      <c r="Z77" s="57"/>
      <c r="AA77" s="57"/>
      <c r="AB77" s="57"/>
      <c r="AC77" s="57"/>
      <c r="AD77" s="57"/>
      <c r="AE77" s="57"/>
      <c r="AF77" s="57"/>
      <c r="AG77" s="57"/>
      <c r="AH77" s="57"/>
      <c r="AI77" s="57"/>
      <c r="AJ77" s="57"/>
      <c r="AK77" s="57"/>
      <c r="AL77" s="57"/>
      <c r="AM77" s="57"/>
      <c r="AN77" s="57"/>
      <c r="AO77" s="57"/>
      <c r="AP77" s="57"/>
      <c r="AQ77" s="57"/>
      <c r="AR77" s="57"/>
      <c r="AS77" s="57"/>
      <c r="AT77" s="57"/>
      <c r="AU77" s="57"/>
      <c r="AV77" s="57"/>
      <c r="AW77" s="57"/>
      <c r="AX77" s="57"/>
      <c r="AY77" s="57"/>
      <c r="AZ77" s="57"/>
      <c r="BA77" s="57"/>
      <c r="BB77" s="57"/>
    </row>
    <row r="78" spans="1:54" s="60" customFormat="1" ht="21.6" x14ac:dyDescent="0.25">
      <c r="A78" s="59"/>
      <c r="B78" s="65"/>
      <c r="C78" s="113"/>
      <c r="D78" s="7" t="s">
        <v>93</v>
      </c>
      <c r="E78" s="115"/>
      <c r="F78" s="26"/>
      <c r="G78" s="27"/>
      <c r="H78" s="25"/>
      <c r="I78" s="25"/>
      <c r="J78" s="25"/>
      <c r="K78" s="25"/>
      <c r="L78" s="25"/>
      <c r="M78" s="25"/>
      <c r="N78" s="25"/>
      <c r="O78" s="25"/>
      <c r="P78" s="25"/>
      <c r="Q78" s="25"/>
      <c r="R78" s="25"/>
      <c r="S78" s="57"/>
      <c r="T78" s="57"/>
      <c r="U78" s="57"/>
      <c r="V78" s="57"/>
      <c r="W78" s="57"/>
      <c r="X78" s="57"/>
      <c r="Y78" s="57"/>
      <c r="Z78" s="57"/>
      <c r="AA78" s="57"/>
      <c r="AB78" s="57"/>
      <c r="AC78" s="57"/>
      <c r="AD78" s="57"/>
      <c r="AE78" s="57"/>
      <c r="AF78" s="57"/>
      <c r="AG78" s="57"/>
      <c r="AH78" s="57"/>
      <c r="AI78" s="57"/>
      <c r="AJ78" s="57"/>
      <c r="AK78" s="57"/>
      <c r="AL78" s="57"/>
      <c r="AM78" s="57"/>
      <c r="AN78" s="57"/>
      <c r="AO78" s="57"/>
      <c r="AP78" s="57"/>
      <c r="AQ78" s="57"/>
      <c r="AR78" s="57"/>
      <c r="AS78" s="57"/>
      <c r="AT78" s="57"/>
      <c r="AU78" s="57"/>
      <c r="AV78" s="57"/>
      <c r="AW78" s="57"/>
      <c r="AX78" s="57"/>
      <c r="AY78" s="57"/>
      <c r="AZ78" s="57"/>
      <c r="BA78" s="57"/>
      <c r="BB78" s="57"/>
    </row>
    <row r="79" spans="1:54" s="60" customFormat="1" ht="21.6" x14ac:dyDescent="0.25">
      <c r="A79" s="59"/>
      <c r="B79" s="65"/>
      <c r="C79" s="75"/>
      <c r="D79" s="24"/>
      <c r="E79" s="115"/>
      <c r="F79" s="27"/>
      <c r="G79" s="27"/>
      <c r="H79" s="25"/>
      <c r="I79" s="25"/>
      <c r="J79" s="25"/>
      <c r="K79" s="25"/>
      <c r="L79" s="25"/>
      <c r="M79" s="25"/>
      <c r="N79" s="25"/>
      <c r="O79" s="25"/>
      <c r="P79" s="25"/>
      <c r="Q79" s="25"/>
      <c r="R79" s="25"/>
      <c r="S79" s="57"/>
      <c r="T79" s="57"/>
      <c r="U79" s="57"/>
      <c r="V79" s="57"/>
      <c r="W79" s="57"/>
      <c r="X79" s="57"/>
      <c r="Y79" s="57"/>
      <c r="Z79" s="57"/>
      <c r="AA79" s="57"/>
      <c r="AB79" s="57"/>
      <c r="AC79" s="57"/>
      <c r="AD79" s="57"/>
      <c r="AE79" s="57"/>
      <c r="AF79" s="57"/>
      <c r="AG79" s="57"/>
      <c r="AH79" s="57"/>
      <c r="AI79" s="57"/>
      <c r="AJ79" s="57"/>
      <c r="AK79" s="57"/>
      <c r="AL79" s="57"/>
      <c r="AM79" s="57"/>
      <c r="AN79" s="57"/>
      <c r="AO79" s="57"/>
      <c r="AP79" s="57"/>
      <c r="AQ79" s="57"/>
      <c r="AR79" s="57"/>
      <c r="AS79" s="57"/>
      <c r="AT79" s="57"/>
      <c r="AU79" s="57"/>
      <c r="AV79" s="57"/>
      <c r="AW79" s="57"/>
      <c r="AX79" s="57"/>
      <c r="AY79" s="57"/>
      <c r="AZ79" s="57"/>
      <c r="BA79" s="57"/>
      <c r="BB79" s="57"/>
    </row>
    <row r="80" spans="1:54" s="60" customFormat="1" ht="21.6" x14ac:dyDescent="0.25">
      <c r="A80" s="59"/>
      <c r="B80" s="65"/>
      <c r="C80" s="113">
        <v>25</v>
      </c>
      <c r="D80" s="7" t="s">
        <v>94</v>
      </c>
      <c r="E80" s="115"/>
      <c r="F80" s="26"/>
      <c r="G80" s="27"/>
      <c r="H80" s="25"/>
      <c r="I80" s="25"/>
      <c r="J80" s="25"/>
      <c r="K80" s="25"/>
      <c r="L80" s="25"/>
      <c r="M80" s="25"/>
      <c r="N80" s="25"/>
      <c r="O80" s="25"/>
      <c r="P80" s="25"/>
      <c r="Q80" s="25"/>
      <c r="R80" s="25"/>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7"/>
      <c r="AU80" s="57"/>
      <c r="AV80" s="57"/>
      <c r="AW80" s="57"/>
      <c r="AX80" s="57"/>
      <c r="AY80" s="57"/>
      <c r="AZ80" s="57"/>
      <c r="BA80" s="57"/>
      <c r="BB80" s="57"/>
    </row>
    <row r="81" spans="1:54" s="60" customFormat="1" ht="21.6" x14ac:dyDescent="0.25">
      <c r="A81" s="59"/>
      <c r="B81" s="65"/>
      <c r="C81" s="113"/>
      <c r="D81" s="7" t="s">
        <v>95</v>
      </c>
      <c r="E81" s="115"/>
      <c r="F81" s="26"/>
      <c r="G81" s="27"/>
      <c r="H81" s="25"/>
      <c r="I81" s="25"/>
      <c r="J81" s="25"/>
      <c r="K81" s="25"/>
      <c r="L81" s="25"/>
      <c r="M81" s="25"/>
      <c r="N81" s="25"/>
      <c r="O81" s="25"/>
      <c r="P81" s="25"/>
      <c r="Q81" s="25"/>
      <c r="R81" s="25"/>
      <c r="S81" s="57"/>
      <c r="T81" s="57"/>
      <c r="U81" s="57"/>
      <c r="V81" s="57"/>
      <c r="W81" s="57"/>
      <c r="X81" s="57"/>
      <c r="Y81" s="57"/>
      <c r="Z81" s="57"/>
      <c r="AA81" s="57"/>
      <c r="AB81" s="57"/>
      <c r="AC81" s="57"/>
      <c r="AD81" s="57"/>
      <c r="AE81" s="57"/>
      <c r="AF81" s="57"/>
      <c r="AG81" s="57"/>
      <c r="AH81" s="57"/>
      <c r="AI81" s="57"/>
      <c r="AJ81" s="57"/>
      <c r="AK81" s="57"/>
      <c r="AL81" s="57"/>
      <c r="AM81" s="57"/>
      <c r="AN81" s="57"/>
      <c r="AO81" s="57"/>
      <c r="AP81" s="57"/>
      <c r="AQ81" s="57"/>
      <c r="AR81" s="57"/>
      <c r="AS81" s="57"/>
      <c r="AT81" s="57"/>
      <c r="AU81" s="57"/>
      <c r="AV81" s="57"/>
      <c r="AW81" s="57"/>
      <c r="AX81" s="57"/>
      <c r="AY81" s="57"/>
      <c r="AZ81" s="57"/>
      <c r="BA81" s="57"/>
      <c r="BB81" s="57"/>
    </row>
    <row r="82" spans="1:54" s="60" customFormat="1" ht="21.6" x14ac:dyDescent="0.25">
      <c r="A82" s="59"/>
      <c r="B82" s="65"/>
      <c r="C82" s="75"/>
      <c r="D82" s="24"/>
      <c r="E82" s="115"/>
      <c r="F82" s="27"/>
      <c r="G82" s="27"/>
      <c r="H82" s="25"/>
      <c r="I82" s="25"/>
      <c r="J82" s="25"/>
      <c r="K82" s="25"/>
      <c r="L82" s="25"/>
      <c r="M82" s="25"/>
      <c r="N82" s="25"/>
      <c r="O82" s="25"/>
      <c r="P82" s="25"/>
      <c r="Q82" s="25"/>
      <c r="R82" s="25"/>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7"/>
      <c r="AT82" s="57"/>
      <c r="AU82" s="57"/>
      <c r="AV82" s="57"/>
      <c r="AW82" s="57"/>
      <c r="AX82" s="57"/>
      <c r="AY82" s="57"/>
      <c r="AZ82" s="57"/>
      <c r="BA82" s="57"/>
      <c r="BB82" s="57"/>
    </row>
    <row r="83" spans="1:54" s="60" customFormat="1" ht="21.6" x14ac:dyDescent="0.25">
      <c r="A83" s="59"/>
      <c r="B83" s="65"/>
      <c r="C83" s="113">
        <v>26</v>
      </c>
      <c r="D83" s="7" t="s">
        <v>96</v>
      </c>
      <c r="E83" s="115"/>
      <c r="F83" s="26"/>
      <c r="G83" s="27"/>
      <c r="H83" s="25"/>
      <c r="I83" s="25"/>
      <c r="J83" s="25"/>
      <c r="K83" s="25"/>
      <c r="L83" s="25"/>
      <c r="M83" s="25"/>
      <c r="N83" s="25"/>
      <c r="O83" s="25"/>
      <c r="P83" s="25"/>
      <c r="Q83" s="25"/>
      <c r="R83" s="25"/>
      <c r="S83" s="57"/>
      <c r="T83" s="57"/>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57"/>
      <c r="AT83" s="57"/>
      <c r="AU83" s="57"/>
      <c r="AV83" s="57"/>
      <c r="AW83" s="57"/>
      <c r="AX83" s="57"/>
      <c r="AY83" s="57"/>
      <c r="AZ83" s="57"/>
      <c r="BA83" s="57"/>
      <c r="BB83" s="57"/>
    </row>
    <row r="84" spans="1:54" s="60" customFormat="1" ht="21.6" x14ac:dyDescent="0.25">
      <c r="A84" s="59"/>
      <c r="B84" s="65"/>
      <c r="C84" s="113"/>
      <c r="D84" s="7" t="s">
        <v>97</v>
      </c>
      <c r="E84" s="115"/>
      <c r="F84" s="26"/>
      <c r="G84" s="27"/>
      <c r="H84" s="25"/>
      <c r="I84" s="25"/>
      <c r="J84" s="25"/>
      <c r="K84" s="25"/>
      <c r="L84" s="25"/>
      <c r="M84" s="25"/>
      <c r="N84" s="25"/>
      <c r="O84" s="25"/>
      <c r="P84" s="25"/>
      <c r="Q84" s="25"/>
      <c r="R84" s="25"/>
      <c r="S84" s="57"/>
      <c r="T84" s="57"/>
      <c r="U84" s="57"/>
      <c r="V84" s="57"/>
      <c r="W84" s="57"/>
      <c r="X84" s="57"/>
      <c r="Y84" s="57"/>
      <c r="Z84" s="57"/>
      <c r="AA84" s="57"/>
      <c r="AB84" s="57"/>
      <c r="AC84" s="57"/>
      <c r="AD84" s="57"/>
      <c r="AE84" s="57"/>
      <c r="AF84" s="57"/>
      <c r="AG84" s="57"/>
      <c r="AH84" s="57"/>
      <c r="AI84" s="57"/>
      <c r="AJ84" s="57"/>
      <c r="AK84" s="57"/>
      <c r="AL84" s="57"/>
      <c r="AM84" s="57"/>
      <c r="AN84" s="57"/>
      <c r="AO84" s="57"/>
      <c r="AP84" s="57"/>
      <c r="AQ84" s="57"/>
      <c r="AR84" s="57"/>
      <c r="AS84" s="57"/>
      <c r="AT84" s="57"/>
      <c r="AU84" s="57"/>
      <c r="AV84" s="57"/>
      <c r="AW84" s="57"/>
      <c r="AX84" s="57"/>
      <c r="AY84" s="57"/>
      <c r="AZ84" s="57"/>
      <c r="BA84" s="57"/>
      <c r="BB84" s="57"/>
    </row>
    <row r="85" spans="1:54" s="60" customFormat="1" ht="21.6" x14ac:dyDescent="0.25">
      <c r="A85" s="59"/>
      <c r="B85" s="65"/>
      <c r="C85" s="75"/>
      <c r="D85" s="24"/>
      <c r="E85" s="115"/>
      <c r="F85" s="27"/>
      <c r="G85" s="27"/>
      <c r="H85" s="25"/>
      <c r="I85" s="25"/>
      <c r="J85" s="25"/>
      <c r="K85" s="25"/>
      <c r="L85" s="25"/>
      <c r="M85" s="25"/>
      <c r="N85" s="25"/>
      <c r="O85" s="25"/>
      <c r="P85" s="25"/>
      <c r="Q85" s="25"/>
      <c r="R85" s="25"/>
      <c r="S85" s="57"/>
      <c r="T85" s="57"/>
      <c r="U85" s="57"/>
      <c r="V85" s="57"/>
      <c r="W85" s="57"/>
      <c r="X85" s="57"/>
      <c r="Y85" s="57"/>
      <c r="Z85" s="57"/>
      <c r="AA85" s="57"/>
      <c r="AB85" s="57"/>
      <c r="AC85" s="57"/>
      <c r="AD85" s="57"/>
      <c r="AE85" s="57"/>
      <c r="AF85" s="57"/>
      <c r="AG85" s="57"/>
      <c r="AH85" s="57"/>
      <c r="AI85" s="57"/>
      <c r="AJ85" s="57"/>
      <c r="AK85" s="57"/>
      <c r="AL85" s="57"/>
      <c r="AM85" s="57"/>
      <c r="AN85" s="57"/>
      <c r="AO85" s="57"/>
      <c r="AP85" s="57"/>
      <c r="AQ85" s="57"/>
      <c r="AR85" s="57"/>
      <c r="AS85" s="57"/>
      <c r="AT85" s="57"/>
      <c r="AU85" s="57"/>
      <c r="AV85" s="57"/>
      <c r="AW85" s="57"/>
      <c r="AX85" s="57"/>
      <c r="AY85" s="57"/>
      <c r="AZ85" s="57"/>
      <c r="BA85" s="57"/>
      <c r="BB85" s="57"/>
    </row>
    <row r="86" spans="1:54" s="60" customFormat="1" ht="21.6" x14ac:dyDescent="0.25">
      <c r="A86" s="59"/>
      <c r="B86" s="65"/>
      <c r="C86" s="113">
        <v>27</v>
      </c>
      <c r="D86" s="7" t="s">
        <v>98</v>
      </c>
      <c r="E86" s="115"/>
      <c r="F86" s="26"/>
      <c r="G86" s="27"/>
      <c r="H86" s="25"/>
      <c r="I86" s="25"/>
      <c r="J86" s="25"/>
      <c r="K86" s="25"/>
      <c r="L86" s="25"/>
      <c r="M86" s="25"/>
      <c r="N86" s="25"/>
      <c r="O86" s="25"/>
      <c r="P86" s="25"/>
      <c r="Q86" s="25"/>
      <c r="R86" s="25"/>
      <c r="S86" s="57"/>
      <c r="T86" s="57"/>
      <c r="U86" s="57"/>
      <c r="V86" s="57"/>
      <c r="W86" s="57"/>
      <c r="X86" s="57"/>
      <c r="Y86" s="57"/>
      <c r="Z86" s="57"/>
      <c r="AA86" s="57"/>
      <c r="AB86" s="57"/>
      <c r="AC86" s="57"/>
      <c r="AD86" s="57"/>
      <c r="AE86" s="57"/>
      <c r="AF86" s="57"/>
      <c r="AG86" s="57"/>
      <c r="AH86" s="57"/>
      <c r="AI86" s="57"/>
      <c r="AJ86" s="57"/>
      <c r="AK86" s="57"/>
      <c r="AL86" s="57"/>
      <c r="AM86" s="57"/>
      <c r="AN86" s="57"/>
      <c r="AO86" s="57"/>
      <c r="AP86" s="57"/>
      <c r="AQ86" s="57"/>
      <c r="AR86" s="57"/>
      <c r="AS86" s="57"/>
      <c r="AT86" s="57"/>
      <c r="AU86" s="57"/>
      <c r="AV86" s="57"/>
      <c r="AW86" s="57"/>
      <c r="AX86" s="57"/>
      <c r="AY86" s="57"/>
      <c r="AZ86" s="57"/>
      <c r="BA86" s="57"/>
      <c r="BB86" s="57"/>
    </row>
    <row r="87" spans="1:54" s="60" customFormat="1" ht="21.6" x14ac:dyDescent="0.25">
      <c r="A87" s="59"/>
      <c r="B87" s="65"/>
      <c r="C87" s="113"/>
      <c r="D87" s="7" t="s">
        <v>99</v>
      </c>
      <c r="E87" s="115"/>
      <c r="F87" s="26"/>
      <c r="G87" s="27"/>
      <c r="H87" s="25"/>
      <c r="I87" s="25"/>
      <c r="J87" s="25"/>
      <c r="K87" s="25"/>
      <c r="L87" s="25"/>
      <c r="M87" s="25"/>
      <c r="N87" s="25"/>
      <c r="O87" s="25"/>
      <c r="P87" s="25"/>
      <c r="Q87" s="25"/>
      <c r="R87" s="25"/>
      <c r="S87" s="57"/>
      <c r="T87" s="57"/>
      <c r="U87" s="57"/>
      <c r="V87" s="57"/>
      <c r="W87" s="57"/>
      <c r="X87" s="57"/>
      <c r="Y87" s="57"/>
      <c r="Z87" s="57"/>
      <c r="AA87" s="57"/>
      <c r="AB87" s="57"/>
      <c r="AC87" s="57"/>
      <c r="AD87" s="57"/>
      <c r="AE87" s="57"/>
      <c r="AF87" s="57"/>
      <c r="AG87" s="57"/>
      <c r="AH87" s="57"/>
      <c r="AI87" s="57"/>
      <c r="AJ87" s="57"/>
      <c r="AK87" s="57"/>
      <c r="AL87" s="57"/>
      <c r="AM87" s="57"/>
      <c r="AN87" s="57"/>
      <c r="AO87" s="57"/>
      <c r="AP87" s="57"/>
      <c r="AQ87" s="57"/>
      <c r="AR87" s="57"/>
      <c r="AS87" s="57"/>
      <c r="AT87" s="57"/>
      <c r="AU87" s="57"/>
      <c r="AV87" s="57"/>
      <c r="AW87" s="57"/>
      <c r="AX87" s="57"/>
      <c r="AY87" s="57"/>
      <c r="AZ87" s="57"/>
      <c r="BA87" s="57"/>
      <c r="BB87" s="57"/>
    </row>
    <row r="88" spans="1:54" s="60" customFormat="1" ht="21.6" x14ac:dyDescent="0.25">
      <c r="A88" s="59"/>
      <c r="B88" s="65"/>
      <c r="C88" s="75"/>
      <c r="D88" s="24"/>
      <c r="E88" s="115"/>
      <c r="F88" s="27"/>
      <c r="G88" s="27"/>
      <c r="H88" s="25"/>
      <c r="I88" s="25"/>
      <c r="J88" s="25"/>
      <c r="K88" s="25"/>
      <c r="L88" s="25"/>
      <c r="M88" s="25"/>
      <c r="N88" s="25"/>
      <c r="O88" s="25"/>
      <c r="P88" s="25"/>
      <c r="Q88" s="25"/>
      <c r="R88" s="25"/>
      <c r="S88" s="57"/>
      <c r="T88" s="57"/>
      <c r="U88" s="57"/>
      <c r="V88" s="57"/>
      <c r="W88" s="57"/>
      <c r="X88" s="57"/>
      <c r="Y88" s="57"/>
      <c r="Z88" s="57"/>
      <c r="AA88" s="57"/>
      <c r="AB88" s="57"/>
      <c r="AC88" s="57"/>
      <c r="AD88" s="57"/>
      <c r="AE88" s="57"/>
      <c r="AF88" s="57"/>
      <c r="AG88" s="57"/>
      <c r="AH88" s="57"/>
      <c r="AI88" s="57"/>
      <c r="AJ88" s="57"/>
      <c r="AK88" s="57"/>
      <c r="AL88" s="57"/>
      <c r="AM88" s="57"/>
      <c r="AN88" s="57"/>
      <c r="AO88" s="57"/>
      <c r="AP88" s="57"/>
      <c r="AQ88" s="57"/>
      <c r="AR88" s="57"/>
      <c r="AS88" s="57"/>
      <c r="AT88" s="57"/>
      <c r="AU88" s="57"/>
      <c r="AV88" s="57"/>
      <c r="AW88" s="57"/>
      <c r="AX88" s="57"/>
      <c r="AY88" s="57"/>
      <c r="AZ88" s="57"/>
      <c r="BA88" s="57"/>
      <c r="BB88" s="57"/>
    </row>
    <row r="89" spans="1:54" s="60" customFormat="1" ht="21.6" x14ac:dyDescent="0.25">
      <c r="A89" s="59"/>
      <c r="B89" s="65"/>
      <c r="C89" s="113">
        <v>28</v>
      </c>
      <c r="D89" s="7" t="s">
        <v>100</v>
      </c>
      <c r="E89" s="115"/>
      <c r="F89" s="26"/>
      <c r="G89" s="27"/>
      <c r="H89" s="25"/>
      <c r="I89" s="25"/>
      <c r="J89" s="25"/>
      <c r="K89" s="25"/>
      <c r="L89" s="25"/>
      <c r="M89" s="25"/>
      <c r="N89" s="25"/>
      <c r="O89" s="25"/>
      <c r="P89" s="25"/>
      <c r="Q89" s="25"/>
      <c r="R89" s="25"/>
      <c r="S89" s="57"/>
      <c r="T89" s="57"/>
      <c r="U89" s="57"/>
      <c r="V89" s="57"/>
      <c r="W89" s="57"/>
      <c r="X89" s="57"/>
      <c r="Y89" s="57"/>
      <c r="Z89" s="57"/>
      <c r="AA89" s="57"/>
      <c r="AB89" s="57"/>
      <c r="AC89" s="57"/>
      <c r="AD89" s="57"/>
      <c r="AE89" s="57"/>
      <c r="AF89" s="57"/>
      <c r="AG89" s="57"/>
      <c r="AH89" s="57"/>
      <c r="AI89" s="57"/>
      <c r="AJ89" s="57"/>
      <c r="AK89" s="57"/>
      <c r="AL89" s="57"/>
      <c r="AM89" s="57"/>
      <c r="AN89" s="57"/>
      <c r="AO89" s="57"/>
      <c r="AP89" s="57"/>
      <c r="AQ89" s="57"/>
      <c r="AR89" s="57"/>
      <c r="AS89" s="57"/>
      <c r="AT89" s="57"/>
      <c r="AU89" s="57"/>
      <c r="AV89" s="57"/>
      <c r="AW89" s="57"/>
      <c r="AX89" s="57"/>
      <c r="AY89" s="57"/>
      <c r="AZ89" s="57"/>
      <c r="BA89" s="57"/>
      <c r="BB89" s="57"/>
    </row>
    <row r="90" spans="1:54" s="60" customFormat="1" ht="21.6" x14ac:dyDescent="0.25">
      <c r="A90" s="59"/>
      <c r="B90" s="65"/>
      <c r="C90" s="113"/>
      <c r="D90" s="7" t="s">
        <v>101</v>
      </c>
      <c r="E90" s="115"/>
      <c r="F90" s="26"/>
      <c r="G90" s="27"/>
      <c r="H90" s="25"/>
      <c r="I90" s="25"/>
      <c r="J90" s="25"/>
      <c r="K90" s="25"/>
      <c r="L90" s="25"/>
      <c r="M90" s="25"/>
      <c r="N90" s="25"/>
      <c r="O90" s="25"/>
      <c r="P90" s="25"/>
      <c r="Q90" s="25"/>
      <c r="R90" s="25"/>
      <c r="S90" s="57"/>
      <c r="T90" s="57"/>
      <c r="U90" s="57"/>
      <c r="V90" s="57"/>
      <c r="W90" s="57"/>
      <c r="X90" s="57"/>
      <c r="Y90" s="57"/>
      <c r="Z90" s="57"/>
      <c r="AA90" s="57"/>
      <c r="AB90" s="57"/>
      <c r="AC90" s="57"/>
      <c r="AD90" s="57"/>
      <c r="AE90" s="57"/>
      <c r="AF90" s="57"/>
      <c r="AG90" s="57"/>
      <c r="AH90" s="57"/>
      <c r="AI90" s="57"/>
      <c r="AJ90" s="57"/>
      <c r="AK90" s="57"/>
      <c r="AL90" s="57"/>
      <c r="AM90" s="57"/>
      <c r="AN90" s="57"/>
      <c r="AO90" s="57"/>
      <c r="AP90" s="57"/>
      <c r="AQ90" s="57"/>
      <c r="AR90" s="57"/>
      <c r="AS90" s="57"/>
      <c r="AT90" s="57"/>
      <c r="AU90" s="57"/>
      <c r="AV90" s="57"/>
      <c r="AW90" s="57"/>
      <c r="AX90" s="57"/>
      <c r="AY90" s="57"/>
      <c r="AZ90" s="57"/>
      <c r="BA90" s="57"/>
      <c r="BB90" s="57"/>
    </row>
    <row r="91" spans="1:54" s="60" customFormat="1" ht="21.6" x14ac:dyDescent="0.25">
      <c r="A91" s="59"/>
      <c r="B91" s="65"/>
      <c r="C91" s="75"/>
      <c r="D91" s="24"/>
      <c r="E91" s="115"/>
      <c r="F91" s="27"/>
      <c r="G91" s="27"/>
      <c r="H91" s="25"/>
      <c r="I91" s="25"/>
      <c r="J91" s="25"/>
      <c r="K91" s="25"/>
      <c r="L91" s="25"/>
      <c r="M91" s="25"/>
      <c r="N91" s="25"/>
      <c r="O91" s="25"/>
      <c r="P91" s="25"/>
      <c r="Q91" s="25"/>
      <c r="R91" s="25"/>
      <c r="S91" s="57"/>
      <c r="T91" s="57"/>
      <c r="U91" s="57"/>
      <c r="V91" s="57"/>
      <c r="W91" s="57"/>
      <c r="X91" s="57"/>
      <c r="Y91" s="57"/>
      <c r="Z91" s="57"/>
      <c r="AA91" s="57"/>
      <c r="AB91" s="57"/>
      <c r="AC91" s="57"/>
      <c r="AD91" s="57"/>
      <c r="AE91" s="57"/>
      <c r="AF91" s="57"/>
      <c r="AG91" s="57"/>
      <c r="AH91" s="57"/>
      <c r="AI91" s="57"/>
      <c r="AJ91" s="57"/>
      <c r="AK91" s="57"/>
      <c r="AL91" s="57"/>
      <c r="AM91" s="57"/>
      <c r="AN91" s="57"/>
      <c r="AO91" s="57"/>
      <c r="AP91" s="57"/>
      <c r="AQ91" s="57"/>
      <c r="AR91" s="57"/>
      <c r="AS91" s="57"/>
      <c r="AT91" s="57"/>
      <c r="AU91" s="57"/>
      <c r="AV91" s="57"/>
      <c r="AW91" s="57"/>
      <c r="AX91" s="57"/>
      <c r="AY91" s="57"/>
      <c r="AZ91" s="57"/>
      <c r="BA91" s="57"/>
      <c r="BB91" s="57"/>
    </row>
    <row r="92" spans="1:54" s="60" customFormat="1" ht="21.6" x14ac:dyDescent="0.25">
      <c r="A92" s="59"/>
      <c r="B92" s="65"/>
      <c r="C92" s="113">
        <v>29</v>
      </c>
      <c r="D92" s="7" t="s">
        <v>102</v>
      </c>
      <c r="E92" s="115"/>
      <c r="F92" s="26"/>
      <c r="G92" s="27"/>
      <c r="H92" s="25"/>
      <c r="I92" s="25"/>
      <c r="J92" s="25"/>
      <c r="K92" s="25"/>
      <c r="L92" s="25"/>
      <c r="M92" s="25"/>
      <c r="N92" s="25"/>
      <c r="O92" s="25"/>
      <c r="P92" s="25"/>
      <c r="Q92" s="25"/>
      <c r="R92" s="25"/>
      <c r="S92" s="57"/>
      <c r="T92" s="57"/>
      <c r="U92" s="57"/>
      <c r="V92" s="57"/>
      <c r="W92" s="57"/>
      <c r="X92" s="57"/>
      <c r="Y92" s="57"/>
      <c r="Z92" s="57"/>
      <c r="AA92" s="57"/>
      <c r="AB92" s="57"/>
      <c r="AC92" s="57"/>
      <c r="AD92" s="57"/>
      <c r="AE92" s="57"/>
      <c r="AF92" s="57"/>
      <c r="AG92" s="57"/>
      <c r="AH92" s="57"/>
      <c r="AI92" s="57"/>
      <c r="AJ92" s="57"/>
      <c r="AK92" s="57"/>
      <c r="AL92" s="57"/>
      <c r="AM92" s="57"/>
      <c r="AN92" s="57"/>
      <c r="AO92" s="57"/>
      <c r="AP92" s="57"/>
      <c r="AQ92" s="57"/>
      <c r="AR92" s="57"/>
      <c r="AS92" s="57"/>
      <c r="AT92" s="57"/>
      <c r="AU92" s="57"/>
      <c r="AV92" s="57"/>
      <c r="AW92" s="57"/>
      <c r="AX92" s="57"/>
      <c r="AY92" s="57"/>
      <c r="AZ92" s="57"/>
      <c r="BA92" s="57"/>
      <c r="BB92" s="57"/>
    </row>
    <row r="93" spans="1:54" s="60" customFormat="1" ht="21.6" x14ac:dyDescent="0.25">
      <c r="A93" s="59"/>
      <c r="B93" s="65"/>
      <c r="C93" s="113"/>
      <c r="D93" s="7" t="s">
        <v>103</v>
      </c>
      <c r="E93" s="115"/>
      <c r="F93" s="26"/>
      <c r="G93" s="27"/>
      <c r="H93" s="25"/>
      <c r="I93" s="25"/>
      <c r="J93" s="25"/>
      <c r="K93" s="25"/>
      <c r="L93" s="25"/>
      <c r="M93" s="25"/>
      <c r="N93" s="25"/>
      <c r="O93" s="25"/>
      <c r="P93" s="25"/>
      <c r="Q93" s="25"/>
      <c r="R93" s="25"/>
      <c r="S93" s="57"/>
      <c r="T93" s="57"/>
      <c r="U93" s="57"/>
      <c r="V93" s="57"/>
      <c r="W93" s="57"/>
      <c r="X93" s="57"/>
      <c r="Y93" s="57"/>
      <c r="Z93" s="57"/>
      <c r="AA93" s="57"/>
      <c r="AB93" s="57"/>
      <c r="AC93" s="57"/>
      <c r="AD93" s="57"/>
      <c r="AE93" s="57"/>
      <c r="AF93" s="57"/>
      <c r="AG93" s="57"/>
      <c r="AH93" s="57"/>
      <c r="AI93" s="57"/>
      <c r="AJ93" s="57"/>
      <c r="AK93" s="57"/>
      <c r="AL93" s="57"/>
      <c r="AM93" s="57"/>
      <c r="AN93" s="57"/>
      <c r="AO93" s="57"/>
      <c r="AP93" s="57"/>
      <c r="AQ93" s="57"/>
      <c r="AR93" s="57"/>
      <c r="AS93" s="57"/>
      <c r="AT93" s="57"/>
      <c r="AU93" s="57"/>
      <c r="AV93" s="57"/>
      <c r="AW93" s="57"/>
      <c r="AX93" s="57"/>
      <c r="AY93" s="57"/>
      <c r="AZ93" s="57"/>
      <c r="BA93" s="57"/>
      <c r="BB93" s="57"/>
    </row>
    <row r="94" spans="1:54" s="60" customFormat="1" ht="21.6" x14ac:dyDescent="0.25">
      <c r="A94" s="59"/>
      <c r="B94" s="65"/>
      <c r="C94" s="75"/>
      <c r="D94" s="24"/>
      <c r="E94" s="115"/>
      <c r="F94" s="27"/>
      <c r="G94" s="27"/>
      <c r="H94" s="25"/>
      <c r="I94" s="25"/>
      <c r="J94" s="25"/>
      <c r="K94" s="25"/>
      <c r="L94" s="25"/>
      <c r="M94" s="25"/>
      <c r="N94" s="25"/>
      <c r="O94" s="25"/>
      <c r="P94" s="25"/>
      <c r="Q94" s="25"/>
      <c r="R94" s="25"/>
      <c r="S94" s="57"/>
      <c r="T94" s="57"/>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c r="AU94" s="57"/>
      <c r="AV94" s="57"/>
      <c r="AW94" s="57"/>
      <c r="AX94" s="57"/>
      <c r="AY94" s="57"/>
      <c r="AZ94" s="57"/>
      <c r="BA94" s="57"/>
      <c r="BB94" s="57"/>
    </row>
    <row r="95" spans="1:54" s="60" customFormat="1" ht="21.6" x14ac:dyDescent="0.25">
      <c r="A95" s="59"/>
      <c r="B95" s="65"/>
      <c r="C95" s="113">
        <v>30</v>
      </c>
      <c r="D95" s="7" t="s">
        <v>104</v>
      </c>
      <c r="E95" s="115"/>
      <c r="F95" s="26"/>
      <c r="G95" s="27"/>
      <c r="H95" s="25"/>
      <c r="I95" s="25"/>
      <c r="J95" s="25"/>
      <c r="K95" s="25"/>
      <c r="L95" s="25"/>
      <c r="M95" s="25"/>
      <c r="N95" s="25"/>
      <c r="O95" s="25"/>
      <c r="P95" s="25"/>
      <c r="Q95" s="25"/>
      <c r="R95" s="25"/>
      <c r="S95" s="57"/>
      <c r="T95" s="57"/>
      <c r="U95" s="57"/>
      <c r="V95" s="57"/>
      <c r="W95" s="57"/>
      <c r="X95" s="57"/>
      <c r="Y95" s="57"/>
      <c r="Z95" s="57"/>
      <c r="AA95" s="57"/>
      <c r="AB95" s="57"/>
      <c r="AC95" s="57"/>
      <c r="AD95" s="57"/>
      <c r="AE95" s="57"/>
      <c r="AF95" s="57"/>
      <c r="AG95" s="57"/>
      <c r="AH95" s="57"/>
      <c r="AI95" s="57"/>
      <c r="AJ95" s="57"/>
      <c r="AK95" s="57"/>
      <c r="AL95" s="57"/>
      <c r="AM95" s="57"/>
      <c r="AN95" s="57"/>
      <c r="AO95" s="57"/>
      <c r="AP95" s="57"/>
      <c r="AQ95" s="57"/>
      <c r="AR95" s="57"/>
      <c r="AS95" s="57"/>
      <c r="AT95" s="57"/>
      <c r="AU95" s="57"/>
      <c r="AV95" s="57"/>
      <c r="AW95" s="57"/>
      <c r="AX95" s="57"/>
      <c r="AY95" s="57"/>
      <c r="AZ95" s="57"/>
      <c r="BA95" s="57"/>
      <c r="BB95" s="57"/>
    </row>
    <row r="96" spans="1:54" s="60" customFormat="1" ht="21.6" x14ac:dyDescent="0.25">
      <c r="A96" s="59"/>
      <c r="B96" s="65"/>
      <c r="C96" s="113"/>
      <c r="D96" s="7" t="s">
        <v>105</v>
      </c>
      <c r="E96" s="115"/>
      <c r="F96" s="26"/>
      <c r="G96" s="27"/>
      <c r="H96" s="25"/>
      <c r="I96" s="25"/>
      <c r="J96" s="25"/>
      <c r="K96" s="25"/>
      <c r="L96" s="25"/>
      <c r="M96" s="25"/>
      <c r="N96" s="25"/>
      <c r="O96" s="25"/>
      <c r="P96" s="25"/>
      <c r="Q96" s="25"/>
      <c r="R96" s="25"/>
      <c r="S96" s="57"/>
      <c r="T96" s="57"/>
      <c r="U96" s="57"/>
      <c r="V96" s="57"/>
      <c r="W96" s="57"/>
      <c r="X96" s="57"/>
      <c r="Y96" s="57"/>
      <c r="Z96" s="57"/>
      <c r="AA96" s="57"/>
      <c r="AB96" s="57"/>
      <c r="AC96" s="57"/>
      <c r="AD96" s="57"/>
      <c r="AE96" s="57"/>
      <c r="AF96" s="57"/>
      <c r="AG96" s="57"/>
      <c r="AH96" s="57"/>
      <c r="AI96" s="57"/>
      <c r="AJ96" s="57"/>
      <c r="AK96" s="57"/>
      <c r="AL96" s="57"/>
      <c r="AM96" s="57"/>
      <c r="AN96" s="57"/>
      <c r="AO96" s="57"/>
      <c r="AP96" s="57"/>
      <c r="AQ96" s="57"/>
      <c r="AR96" s="57"/>
      <c r="AS96" s="57"/>
      <c r="AT96" s="57"/>
      <c r="AU96" s="57"/>
      <c r="AV96" s="57"/>
      <c r="AW96" s="57"/>
      <c r="AX96" s="57"/>
      <c r="AY96" s="57"/>
      <c r="AZ96" s="57"/>
      <c r="BA96" s="57"/>
      <c r="BB96" s="57"/>
    </row>
    <row r="97" spans="1:54" s="60" customFormat="1" ht="21.6" x14ac:dyDescent="0.25">
      <c r="A97" s="59"/>
      <c r="B97" s="65"/>
      <c r="C97" s="75"/>
      <c r="D97" s="24"/>
      <c r="E97" s="115"/>
      <c r="F97" s="27"/>
      <c r="G97" s="27"/>
      <c r="H97" s="25"/>
      <c r="I97" s="25"/>
      <c r="J97" s="25"/>
      <c r="K97" s="25"/>
      <c r="L97" s="25"/>
      <c r="M97" s="25"/>
      <c r="N97" s="25"/>
      <c r="O97" s="25"/>
      <c r="P97" s="25"/>
      <c r="Q97" s="25"/>
      <c r="R97" s="25"/>
      <c r="S97" s="57"/>
      <c r="T97" s="57"/>
      <c r="U97" s="57"/>
      <c r="V97" s="57"/>
      <c r="W97" s="57"/>
      <c r="X97" s="57"/>
      <c r="Y97" s="57"/>
      <c r="Z97" s="57"/>
      <c r="AA97" s="57"/>
      <c r="AB97" s="57"/>
      <c r="AC97" s="57"/>
      <c r="AD97" s="57"/>
      <c r="AE97" s="57"/>
      <c r="AF97" s="57"/>
      <c r="AG97" s="57"/>
      <c r="AH97" s="57"/>
      <c r="AI97" s="57"/>
      <c r="AJ97" s="57"/>
      <c r="AK97" s="57"/>
      <c r="AL97" s="57"/>
      <c r="AM97" s="57"/>
      <c r="AN97" s="57"/>
      <c r="AO97" s="57"/>
      <c r="AP97" s="57"/>
      <c r="AQ97" s="57"/>
      <c r="AR97" s="57"/>
      <c r="AS97" s="57"/>
      <c r="AT97" s="57"/>
      <c r="AU97" s="57"/>
      <c r="AV97" s="57"/>
      <c r="AW97" s="57"/>
      <c r="AX97" s="57"/>
      <c r="AY97" s="57"/>
      <c r="AZ97" s="57"/>
      <c r="BA97" s="57"/>
      <c r="BB97" s="57"/>
    </row>
    <row r="98" spans="1:54" s="60" customFormat="1" ht="21.6" x14ac:dyDescent="0.25">
      <c r="A98" s="59"/>
      <c r="B98" s="65"/>
      <c r="C98" s="113">
        <v>31</v>
      </c>
      <c r="D98" s="7" t="s">
        <v>106</v>
      </c>
      <c r="E98" s="115"/>
      <c r="F98" s="26"/>
      <c r="G98" s="27"/>
      <c r="H98" s="25"/>
      <c r="I98" s="25"/>
      <c r="J98" s="25"/>
      <c r="K98" s="25"/>
      <c r="L98" s="25"/>
      <c r="M98" s="25"/>
      <c r="N98" s="25"/>
      <c r="O98" s="25"/>
      <c r="P98" s="25"/>
      <c r="Q98" s="25"/>
      <c r="R98" s="25"/>
      <c r="S98" s="57"/>
      <c r="T98" s="57"/>
      <c r="U98" s="57"/>
      <c r="V98" s="57"/>
      <c r="W98" s="57"/>
      <c r="X98" s="57"/>
      <c r="Y98" s="57"/>
      <c r="Z98" s="57"/>
      <c r="AA98" s="57"/>
      <c r="AB98" s="57"/>
      <c r="AC98" s="57"/>
      <c r="AD98" s="57"/>
      <c r="AE98" s="57"/>
      <c r="AF98" s="57"/>
      <c r="AG98" s="57"/>
      <c r="AH98" s="57"/>
      <c r="AI98" s="57"/>
      <c r="AJ98" s="57"/>
      <c r="AK98" s="57"/>
      <c r="AL98" s="57"/>
      <c r="AM98" s="57"/>
      <c r="AN98" s="57"/>
      <c r="AO98" s="57"/>
      <c r="AP98" s="57"/>
      <c r="AQ98" s="57"/>
      <c r="AR98" s="57"/>
      <c r="AS98" s="57"/>
      <c r="AT98" s="57"/>
      <c r="AU98" s="57"/>
      <c r="AV98" s="57"/>
      <c r="AW98" s="57"/>
      <c r="AX98" s="57"/>
      <c r="AY98" s="57"/>
      <c r="AZ98" s="57"/>
      <c r="BA98" s="57"/>
      <c r="BB98" s="57"/>
    </row>
    <row r="99" spans="1:54" s="60" customFormat="1" ht="21.6" x14ac:dyDescent="0.25">
      <c r="A99" s="59"/>
      <c r="B99" s="65"/>
      <c r="C99" s="113"/>
      <c r="D99" s="7" t="s">
        <v>107</v>
      </c>
      <c r="E99" s="115"/>
      <c r="F99" s="26"/>
      <c r="G99" s="27"/>
      <c r="H99" s="25"/>
      <c r="I99" s="25"/>
      <c r="J99" s="25"/>
      <c r="K99" s="25"/>
      <c r="L99" s="25"/>
      <c r="M99" s="25"/>
      <c r="N99" s="25"/>
      <c r="O99" s="25"/>
      <c r="P99" s="25"/>
      <c r="Q99" s="25"/>
      <c r="R99" s="25"/>
      <c r="S99" s="57"/>
      <c r="T99" s="57"/>
      <c r="U99" s="57"/>
      <c r="V99" s="57"/>
      <c r="W99" s="57"/>
      <c r="X99" s="57"/>
      <c r="Y99" s="57"/>
      <c r="Z99" s="57"/>
      <c r="AA99" s="57"/>
      <c r="AB99" s="57"/>
      <c r="AC99" s="57"/>
      <c r="AD99" s="57"/>
      <c r="AE99" s="57"/>
      <c r="AF99" s="57"/>
      <c r="AG99" s="57"/>
      <c r="AH99" s="57"/>
      <c r="AI99" s="57"/>
      <c r="AJ99" s="57"/>
      <c r="AK99" s="57"/>
      <c r="AL99" s="57"/>
      <c r="AM99" s="57"/>
      <c r="AN99" s="57"/>
      <c r="AO99" s="57"/>
      <c r="AP99" s="57"/>
      <c r="AQ99" s="57"/>
      <c r="AR99" s="57"/>
      <c r="AS99" s="57"/>
      <c r="AT99" s="57"/>
      <c r="AU99" s="57"/>
      <c r="AV99" s="57"/>
      <c r="AW99" s="57"/>
      <c r="AX99" s="57"/>
      <c r="AY99" s="57"/>
      <c r="AZ99" s="57"/>
      <c r="BA99" s="57"/>
      <c r="BB99" s="57"/>
    </row>
    <row r="100" spans="1:54" s="60" customFormat="1" ht="21.6" x14ac:dyDescent="0.25">
      <c r="A100" s="59"/>
      <c r="B100" s="65"/>
      <c r="C100" s="75"/>
      <c r="D100" s="24"/>
      <c r="E100" s="115"/>
      <c r="F100" s="27"/>
      <c r="G100" s="27"/>
      <c r="H100" s="25"/>
      <c r="I100" s="25"/>
      <c r="J100" s="25"/>
      <c r="K100" s="25"/>
      <c r="L100" s="25"/>
      <c r="M100" s="25"/>
      <c r="N100" s="25"/>
      <c r="O100" s="25"/>
      <c r="P100" s="25"/>
      <c r="Q100" s="25"/>
      <c r="R100" s="25"/>
      <c r="S100" s="57"/>
      <c r="T100" s="57"/>
      <c r="U100" s="57"/>
      <c r="V100" s="57"/>
      <c r="W100" s="57"/>
      <c r="X100" s="57"/>
      <c r="Y100" s="57"/>
      <c r="Z100" s="57"/>
      <c r="AA100" s="57"/>
      <c r="AB100" s="57"/>
      <c r="AC100" s="57"/>
      <c r="AD100" s="57"/>
      <c r="AE100" s="57"/>
      <c r="AF100" s="57"/>
      <c r="AG100" s="57"/>
      <c r="AH100" s="57"/>
      <c r="AI100" s="57"/>
      <c r="AJ100" s="57"/>
      <c r="AK100" s="57"/>
      <c r="AL100" s="57"/>
      <c r="AM100" s="57"/>
      <c r="AN100" s="57"/>
      <c r="AO100" s="57"/>
      <c r="AP100" s="57"/>
      <c r="AQ100" s="57"/>
      <c r="AR100" s="57"/>
      <c r="AS100" s="57"/>
      <c r="AT100" s="57"/>
      <c r="AU100" s="57"/>
      <c r="AV100" s="57"/>
      <c r="AW100" s="57"/>
      <c r="AX100" s="57"/>
      <c r="AY100" s="57"/>
      <c r="AZ100" s="57"/>
      <c r="BA100" s="57"/>
      <c r="BB100" s="57"/>
    </row>
    <row r="101" spans="1:54" s="60" customFormat="1" ht="21.6" x14ac:dyDescent="0.25">
      <c r="A101" s="59"/>
      <c r="B101" s="65"/>
      <c r="C101" s="113">
        <v>32</v>
      </c>
      <c r="D101" s="7" t="s">
        <v>108</v>
      </c>
      <c r="E101" s="115"/>
      <c r="F101" s="26"/>
      <c r="G101" s="27"/>
      <c r="H101" s="25"/>
      <c r="I101" s="25"/>
      <c r="J101" s="25"/>
      <c r="K101" s="25"/>
      <c r="L101" s="25"/>
      <c r="M101" s="25"/>
      <c r="N101" s="25"/>
      <c r="O101" s="25"/>
      <c r="P101" s="25"/>
      <c r="Q101" s="25"/>
      <c r="R101" s="25"/>
      <c r="S101" s="57"/>
      <c r="T101" s="57"/>
      <c r="U101" s="57"/>
      <c r="V101" s="57"/>
      <c r="W101" s="57"/>
      <c r="X101" s="57"/>
      <c r="Y101" s="57"/>
      <c r="Z101" s="57"/>
      <c r="AA101" s="57"/>
      <c r="AB101" s="57"/>
      <c r="AC101" s="57"/>
      <c r="AD101" s="57"/>
      <c r="AE101" s="57"/>
      <c r="AF101" s="57"/>
      <c r="AG101" s="57"/>
      <c r="AH101" s="57"/>
      <c r="AI101" s="57"/>
      <c r="AJ101" s="57"/>
      <c r="AK101" s="57"/>
      <c r="AL101" s="57"/>
      <c r="AM101" s="57"/>
      <c r="AN101" s="57"/>
      <c r="AO101" s="57"/>
      <c r="AP101" s="57"/>
      <c r="AQ101" s="57"/>
      <c r="AR101" s="57"/>
      <c r="AS101" s="57"/>
      <c r="AT101" s="57"/>
      <c r="AU101" s="57"/>
      <c r="AV101" s="57"/>
      <c r="AW101" s="57"/>
      <c r="AX101" s="57"/>
      <c r="AY101" s="57"/>
      <c r="AZ101" s="57"/>
      <c r="BA101" s="57"/>
      <c r="BB101" s="57"/>
    </row>
    <row r="102" spans="1:54" s="60" customFormat="1" ht="21.6" x14ac:dyDescent="0.25">
      <c r="A102" s="59"/>
      <c r="B102" s="65"/>
      <c r="C102" s="113"/>
      <c r="D102" s="7" t="s">
        <v>109</v>
      </c>
      <c r="E102" s="115"/>
      <c r="F102" s="26"/>
      <c r="G102" s="27"/>
      <c r="H102" s="25"/>
      <c r="I102" s="25"/>
      <c r="J102" s="25"/>
      <c r="K102" s="25"/>
      <c r="L102" s="25"/>
      <c r="M102" s="25"/>
      <c r="N102" s="25"/>
      <c r="O102" s="25"/>
      <c r="P102" s="25"/>
      <c r="Q102" s="25"/>
      <c r="R102" s="25"/>
      <c r="S102" s="57"/>
      <c r="T102" s="57"/>
      <c r="U102" s="57"/>
      <c r="V102" s="57"/>
      <c r="W102" s="57"/>
      <c r="X102" s="57"/>
      <c r="Y102" s="57"/>
      <c r="Z102" s="57"/>
      <c r="AA102" s="57"/>
      <c r="AB102" s="57"/>
      <c r="AC102" s="57"/>
      <c r="AD102" s="57"/>
      <c r="AE102" s="57"/>
      <c r="AF102" s="57"/>
      <c r="AG102" s="57"/>
      <c r="AH102" s="57"/>
      <c r="AI102" s="57"/>
      <c r="AJ102" s="57"/>
      <c r="AK102" s="57"/>
      <c r="AL102" s="57"/>
      <c r="AM102" s="57"/>
      <c r="AN102" s="57"/>
      <c r="AO102" s="57"/>
      <c r="AP102" s="57"/>
      <c r="AQ102" s="57"/>
      <c r="AR102" s="57"/>
      <c r="AS102" s="57"/>
      <c r="AT102" s="57"/>
      <c r="AU102" s="57"/>
      <c r="AV102" s="57"/>
      <c r="AW102" s="57"/>
      <c r="AX102" s="57"/>
      <c r="AY102" s="57"/>
      <c r="AZ102" s="57"/>
      <c r="BA102" s="57"/>
      <c r="BB102" s="57"/>
    </row>
    <row r="103" spans="1:54" s="60" customFormat="1" ht="21.6" x14ac:dyDescent="0.25">
      <c r="A103" s="59"/>
      <c r="B103" s="65"/>
      <c r="C103" s="75"/>
      <c r="D103" s="24"/>
      <c r="E103" s="115"/>
      <c r="F103" s="27"/>
      <c r="G103" s="27"/>
      <c r="H103" s="25"/>
      <c r="I103" s="25"/>
      <c r="J103" s="25"/>
      <c r="K103" s="25"/>
      <c r="L103" s="25"/>
      <c r="M103" s="25"/>
      <c r="N103" s="25"/>
      <c r="O103" s="25"/>
      <c r="P103" s="25"/>
      <c r="Q103" s="25"/>
      <c r="R103" s="25"/>
      <c r="S103" s="57"/>
      <c r="T103" s="57"/>
      <c r="U103" s="57"/>
      <c r="V103" s="57"/>
      <c r="W103" s="57"/>
      <c r="X103" s="57"/>
      <c r="Y103" s="57"/>
      <c r="Z103" s="57"/>
      <c r="AA103" s="57"/>
      <c r="AB103" s="57"/>
      <c r="AC103" s="57"/>
      <c r="AD103" s="57"/>
      <c r="AE103" s="57"/>
      <c r="AF103" s="57"/>
      <c r="AG103" s="57"/>
      <c r="AH103" s="57"/>
      <c r="AI103" s="57"/>
      <c r="AJ103" s="57"/>
      <c r="AK103" s="57"/>
      <c r="AL103" s="57"/>
      <c r="AM103" s="57"/>
      <c r="AN103" s="57"/>
      <c r="AO103" s="57"/>
      <c r="AP103" s="57"/>
      <c r="AQ103" s="57"/>
      <c r="AR103" s="57"/>
      <c r="AS103" s="57"/>
      <c r="AT103" s="57"/>
      <c r="AU103" s="57"/>
      <c r="AV103" s="57"/>
      <c r="AW103" s="57"/>
      <c r="AX103" s="57"/>
      <c r="AY103" s="57"/>
      <c r="AZ103" s="57"/>
      <c r="BA103" s="57"/>
      <c r="BB103" s="57"/>
    </row>
    <row r="104" spans="1:54" s="60" customFormat="1" ht="21.6" x14ac:dyDescent="0.25">
      <c r="A104" s="59"/>
      <c r="B104" s="65"/>
      <c r="C104" s="113">
        <v>33</v>
      </c>
      <c r="D104" s="7" t="s">
        <v>110</v>
      </c>
      <c r="E104" s="115"/>
      <c r="F104" s="26"/>
      <c r="G104" s="27"/>
      <c r="H104" s="25"/>
      <c r="I104" s="25"/>
      <c r="J104" s="25"/>
      <c r="K104" s="25"/>
      <c r="L104" s="25"/>
      <c r="M104" s="25"/>
      <c r="N104" s="25"/>
      <c r="O104" s="25"/>
      <c r="P104" s="25"/>
      <c r="Q104" s="25"/>
      <c r="R104" s="25"/>
      <c r="S104" s="57"/>
      <c r="T104" s="57"/>
      <c r="U104" s="57"/>
      <c r="V104" s="57"/>
      <c r="W104" s="57"/>
      <c r="X104" s="57"/>
      <c r="Y104" s="57"/>
      <c r="Z104" s="57"/>
      <c r="AA104" s="57"/>
      <c r="AB104" s="57"/>
      <c r="AC104" s="57"/>
      <c r="AD104" s="57"/>
      <c r="AE104" s="57"/>
      <c r="AF104" s="57"/>
      <c r="AG104" s="57"/>
      <c r="AH104" s="57"/>
      <c r="AI104" s="57"/>
      <c r="AJ104" s="57"/>
      <c r="AK104" s="57"/>
      <c r="AL104" s="57"/>
      <c r="AM104" s="57"/>
      <c r="AN104" s="57"/>
      <c r="AO104" s="57"/>
      <c r="AP104" s="57"/>
      <c r="AQ104" s="57"/>
      <c r="AR104" s="57"/>
      <c r="AS104" s="57"/>
      <c r="AT104" s="57"/>
      <c r="AU104" s="57"/>
      <c r="AV104" s="57"/>
      <c r="AW104" s="57"/>
      <c r="AX104" s="57"/>
      <c r="AY104" s="57"/>
      <c r="AZ104" s="57"/>
      <c r="BA104" s="57"/>
      <c r="BB104" s="57"/>
    </row>
    <row r="105" spans="1:54" s="60" customFormat="1" ht="21.6" x14ac:dyDescent="0.25">
      <c r="A105" s="59"/>
      <c r="B105" s="65"/>
      <c r="C105" s="113"/>
      <c r="D105" s="7" t="s">
        <v>111</v>
      </c>
      <c r="E105" s="115"/>
      <c r="F105" s="26"/>
      <c r="G105" s="27"/>
      <c r="H105" s="25"/>
      <c r="I105" s="25"/>
      <c r="J105" s="25"/>
      <c r="K105" s="25"/>
      <c r="L105" s="25"/>
      <c r="M105" s="25"/>
      <c r="N105" s="25"/>
      <c r="O105" s="25"/>
      <c r="P105" s="25"/>
      <c r="Q105" s="25"/>
      <c r="R105" s="25"/>
      <c r="S105" s="57"/>
      <c r="T105" s="57"/>
      <c r="U105" s="57"/>
      <c r="V105" s="57"/>
      <c r="W105" s="57"/>
      <c r="X105" s="57"/>
      <c r="Y105" s="57"/>
      <c r="Z105" s="57"/>
      <c r="AA105" s="57"/>
      <c r="AB105" s="57"/>
      <c r="AC105" s="57"/>
      <c r="AD105" s="57"/>
      <c r="AE105" s="57"/>
      <c r="AF105" s="57"/>
      <c r="AG105" s="57"/>
      <c r="AH105" s="57"/>
      <c r="AI105" s="57"/>
      <c r="AJ105" s="57"/>
      <c r="AK105" s="57"/>
      <c r="AL105" s="57"/>
      <c r="AM105" s="57"/>
      <c r="AN105" s="57"/>
      <c r="AO105" s="57"/>
      <c r="AP105" s="57"/>
      <c r="AQ105" s="57"/>
      <c r="AR105" s="57"/>
      <c r="AS105" s="57"/>
      <c r="AT105" s="57"/>
      <c r="AU105" s="57"/>
      <c r="AV105" s="57"/>
      <c r="AW105" s="57"/>
      <c r="AX105" s="57"/>
      <c r="AY105" s="57"/>
      <c r="AZ105" s="57"/>
      <c r="BA105" s="57"/>
      <c r="BB105" s="57"/>
    </row>
    <row r="106" spans="1:54" s="60" customFormat="1" ht="21.6" x14ac:dyDescent="0.25">
      <c r="A106" s="59"/>
      <c r="B106" s="65"/>
      <c r="C106" s="75"/>
      <c r="D106" s="24"/>
      <c r="E106" s="115"/>
      <c r="F106" s="27"/>
      <c r="G106" s="27"/>
      <c r="H106" s="25"/>
      <c r="I106" s="25"/>
      <c r="J106" s="25"/>
      <c r="K106" s="25"/>
      <c r="L106" s="25"/>
      <c r="M106" s="25"/>
      <c r="N106" s="25"/>
      <c r="O106" s="25"/>
      <c r="P106" s="25"/>
      <c r="Q106" s="25"/>
      <c r="R106" s="25"/>
      <c r="S106" s="57"/>
      <c r="T106" s="57"/>
      <c r="U106" s="57"/>
      <c r="V106" s="57"/>
      <c r="W106" s="57"/>
      <c r="X106" s="57"/>
      <c r="Y106" s="57"/>
      <c r="Z106" s="57"/>
      <c r="AA106" s="57"/>
      <c r="AB106" s="57"/>
      <c r="AC106" s="57"/>
      <c r="AD106" s="57"/>
      <c r="AE106" s="57"/>
      <c r="AF106" s="57"/>
      <c r="AG106" s="57"/>
      <c r="AH106" s="57"/>
      <c r="AI106" s="57"/>
      <c r="AJ106" s="57"/>
      <c r="AK106" s="57"/>
      <c r="AL106" s="57"/>
      <c r="AM106" s="57"/>
      <c r="AN106" s="57"/>
      <c r="AO106" s="57"/>
      <c r="AP106" s="57"/>
      <c r="AQ106" s="57"/>
      <c r="AR106" s="57"/>
      <c r="AS106" s="57"/>
      <c r="AT106" s="57"/>
      <c r="AU106" s="57"/>
      <c r="AV106" s="57"/>
      <c r="AW106" s="57"/>
      <c r="AX106" s="57"/>
      <c r="AY106" s="57"/>
      <c r="AZ106" s="57"/>
      <c r="BA106" s="57"/>
      <c r="BB106" s="57"/>
    </row>
    <row r="107" spans="1:54" s="60" customFormat="1" ht="21.6" x14ac:dyDescent="0.25">
      <c r="A107" s="59"/>
      <c r="B107" s="65"/>
      <c r="C107" s="113">
        <v>34</v>
      </c>
      <c r="D107" s="7" t="s">
        <v>112</v>
      </c>
      <c r="E107" s="115"/>
      <c r="F107" s="26"/>
      <c r="G107" s="27"/>
      <c r="H107" s="25"/>
      <c r="I107" s="25"/>
      <c r="J107" s="25"/>
      <c r="K107" s="25"/>
      <c r="L107" s="25"/>
      <c r="M107" s="25"/>
      <c r="N107" s="25"/>
      <c r="O107" s="25"/>
      <c r="P107" s="25"/>
      <c r="Q107" s="25"/>
      <c r="R107" s="25"/>
      <c r="S107" s="57"/>
      <c r="T107" s="57"/>
      <c r="U107" s="57"/>
      <c r="V107" s="57"/>
      <c r="W107" s="57"/>
      <c r="X107" s="57"/>
      <c r="Y107" s="57"/>
      <c r="Z107" s="57"/>
      <c r="AA107" s="57"/>
      <c r="AB107" s="57"/>
      <c r="AC107" s="57"/>
      <c r="AD107" s="57"/>
      <c r="AE107" s="57"/>
      <c r="AF107" s="57"/>
      <c r="AG107" s="57"/>
      <c r="AH107" s="57"/>
      <c r="AI107" s="57"/>
      <c r="AJ107" s="57"/>
      <c r="AK107" s="57"/>
      <c r="AL107" s="57"/>
      <c r="AM107" s="57"/>
      <c r="AN107" s="57"/>
      <c r="AO107" s="57"/>
      <c r="AP107" s="57"/>
      <c r="AQ107" s="57"/>
      <c r="AR107" s="57"/>
      <c r="AS107" s="57"/>
      <c r="AT107" s="57"/>
      <c r="AU107" s="57"/>
      <c r="AV107" s="57"/>
      <c r="AW107" s="57"/>
      <c r="AX107" s="57"/>
      <c r="AY107" s="57"/>
      <c r="AZ107" s="57"/>
      <c r="BA107" s="57"/>
      <c r="BB107" s="57"/>
    </row>
    <row r="108" spans="1:54" s="60" customFormat="1" ht="21.6" x14ac:dyDescent="0.25">
      <c r="A108" s="59"/>
      <c r="B108" s="65"/>
      <c r="C108" s="113"/>
      <c r="D108" s="7" t="s">
        <v>113</v>
      </c>
      <c r="E108" s="115"/>
      <c r="F108" s="26"/>
      <c r="G108" s="27"/>
      <c r="H108" s="25"/>
      <c r="I108" s="25"/>
      <c r="J108" s="25"/>
      <c r="K108" s="25"/>
      <c r="L108" s="25"/>
      <c r="M108" s="25"/>
      <c r="N108" s="25"/>
      <c r="O108" s="25"/>
      <c r="P108" s="25"/>
      <c r="Q108" s="25"/>
      <c r="R108" s="25"/>
      <c r="S108" s="57"/>
      <c r="T108" s="57"/>
      <c r="U108" s="57"/>
      <c r="V108" s="57"/>
      <c r="W108" s="57"/>
      <c r="X108" s="57"/>
      <c r="Y108" s="57"/>
      <c r="Z108" s="57"/>
      <c r="AA108" s="57"/>
      <c r="AB108" s="57"/>
      <c r="AC108" s="57"/>
      <c r="AD108" s="57"/>
      <c r="AE108" s="57"/>
      <c r="AF108" s="57"/>
      <c r="AG108" s="57"/>
      <c r="AH108" s="57"/>
      <c r="AI108" s="57"/>
      <c r="AJ108" s="57"/>
      <c r="AK108" s="57"/>
      <c r="AL108" s="57"/>
      <c r="AM108" s="57"/>
      <c r="AN108" s="57"/>
      <c r="AO108" s="57"/>
      <c r="AP108" s="57"/>
      <c r="AQ108" s="57"/>
      <c r="AR108" s="57"/>
      <c r="AS108" s="57"/>
      <c r="AT108" s="57"/>
      <c r="AU108" s="57"/>
      <c r="AV108" s="57"/>
      <c r="AW108" s="57"/>
      <c r="AX108" s="57"/>
      <c r="AY108" s="57"/>
      <c r="AZ108" s="57"/>
      <c r="BA108" s="57"/>
      <c r="BB108" s="57"/>
    </row>
    <row r="109" spans="1:54" s="60" customFormat="1" ht="21.6" x14ac:dyDescent="0.25">
      <c r="A109" s="59"/>
      <c r="B109" s="65"/>
      <c r="C109" s="75"/>
      <c r="D109" s="24"/>
      <c r="E109" s="115"/>
      <c r="F109" s="27"/>
      <c r="G109" s="27"/>
      <c r="H109" s="25"/>
      <c r="I109" s="25"/>
      <c r="J109" s="25"/>
      <c r="K109" s="25"/>
      <c r="L109" s="25"/>
      <c r="M109" s="25"/>
      <c r="N109" s="25"/>
      <c r="O109" s="25"/>
      <c r="P109" s="25"/>
      <c r="Q109" s="25"/>
      <c r="R109" s="25"/>
      <c r="S109" s="57"/>
      <c r="T109" s="57"/>
      <c r="U109" s="57"/>
      <c r="V109" s="57"/>
      <c r="W109" s="57"/>
      <c r="X109" s="57"/>
      <c r="Y109" s="57"/>
      <c r="Z109" s="57"/>
      <c r="AA109" s="57"/>
      <c r="AB109" s="57"/>
      <c r="AC109" s="57"/>
      <c r="AD109" s="57"/>
      <c r="AE109" s="57"/>
      <c r="AF109" s="57"/>
      <c r="AG109" s="57"/>
      <c r="AH109" s="57"/>
      <c r="AI109" s="57"/>
      <c r="AJ109" s="57"/>
      <c r="AK109" s="57"/>
      <c r="AL109" s="57"/>
      <c r="AM109" s="57"/>
      <c r="AN109" s="57"/>
      <c r="AO109" s="57"/>
      <c r="AP109" s="57"/>
      <c r="AQ109" s="57"/>
      <c r="AR109" s="57"/>
      <c r="AS109" s="57"/>
      <c r="AT109" s="57"/>
      <c r="AU109" s="57"/>
      <c r="AV109" s="57"/>
      <c r="AW109" s="57"/>
      <c r="AX109" s="57"/>
      <c r="AY109" s="57"/>
      <c r="AZ109" s="57"/>
      <c r="BA109" s="57"/>
      <c r="BB109" s="57"/>
    </row>
    <row r="110" spans="1:54" s="60" customFormat="1" ht="21.6" x14ac:dyDescent="0.25">
      <c r="A110" s="59"/>
      <c r="B110" s="65"/>
      <c r="C110" s="113">
        <v>35</v>
      </c>
      <c r="D110" s="7" t="s">
        <v>114</v>
      </c>
      <c r="E110" s="115"/>
      <c r="F110" s="26"/>
      <c r="G110" s="27"/>
      <c r="H110" s="25"/>
      <c r="I110" s="25"/>
      <c r="J110" s="25"/>
      <c r="K110" s="25"/>
      <c r="L110" s="25"/>
      <c r="M110" s="25"/>
      <c r="N110" s="25"/>
      <c r="O110" s="25"/>
      <c r="P110" s="25"/>
      <c r="Q110" s="25"/>
      <c r="R110" s="25"/>
      <c r="S110" s="57"/>
      <c r="T110" s="57"/>
      <c r="U110" s="57"/>
      <c r="V110" s="57"/>
      <c r="W110" s="57"/>
      <c r="X110" s="57"/>
      <c r="Y110" s="57"/>
      <c r="Z110" s="57"/>
      <c r="AA110" s="57"/>
      <c r="AB110" s="57"/>
      <c r="AC110" s="57"/>
      <c r="AD110" s="57"/>
      <c r="AE110" s="57"/>
      <c r="AF110" s="57"/>
      <c r="AG110" s="57"/>
      <c r="AH110" s="57"/>
      <c r="AI110" s="57"/>
      <c r="AJ110" s="57"/>
      <c r="AK110" s="57"/>
      <c r="AL110" s="57"/>
      <c r="AM110" s="57"/>
      <c r="AN110" s="57"/>
      <c r="AO110" s="57"/>
      <c r="AP110" s="57"/>
      <c r="AQ110" s="57"/>
      <c r="AR110" s="57"/>
      <c r="AS110" s="57"/>
      <c r="AT110" s="57"/>
      <c r="AU110" s="57"/>
      <c r="AV110" s="57"/>
      <c r="AW110" s="57"/>
      <c r="AX110" s="57"/>
      <c r="AY110" s="57"/>
      <c r="AZ110" s="57"/>
      <c r="BA110" s="57"/>
      <c r="BB110" s="57"/>
    </row>
    <row r="111" spans="1:54" s="60" customFormat="1" ht="21.6" x14ac:dyDescent="0.25">
      <c r="A111" s="59"/>
      <c r="B111" s="65"/>
      <c r="C111" s="113"/>
      <c r="D111" s="7" t="s">
        <v>115</v>
      </c>
      <c r="E111" s="115"/>
      <c r="F111" s="26"/>
      <c r="G111" s="27"/>
      <c r="H111" s="25"/>
      <c r="I111" s="25"/>
      <c r="J111" s="25"/>
      <c r="K111" s="25"/>
      <c r="L111" s="25"/>
      <c r="M111" s="25"/>
      <c r="N111" s="25"/>
      <c r="O111" s="25"/>
      <c r="P111" s="25"/>
      <c r="Q111" s="25"/>
      <c r="R111" s="25"/>
      <c r="S111" s="57"/>
      <c r="T111" s="57"/>
      <c r="U111" s="57"/>
      <c r="V111" s="57"/>
      <c r="W111" s="57"/>
      <c r="X111" s="57"/>
      <c r="Y111" s="57"/>
      <c r="Z111" s="57"/>
      <c r="AA111" s="57"/>
      <c r="AB111" s="57"/>
      <c r="AC111" s="57"/>
      <c r="AD111" s="57"/>
      <c r="AE111" s="57"/>
      <c r="AF111" s="57"/>
      <c r="AG111" s="57"/>
      <c r="AH111" s="57"/>
      <c r="AI111" s="57"/>
      <c r="AJ111" s="57"/>
      <c r="AK111" s="57"/>
      <c r="AL111" s="57"/>
      <c r="AM111" s="57"/>
      <c r="AN111" s="57"/>
      <c r="AO111" s="57"/>
      <c r="AP111" s="57"/>
      <c r="AQ111" s="57"/>
      <c r="AR111" s="57"/>
      <c r="AS111" s="57"/>
      <c r="AT111" s="57"/>
      <c r="AU111" s="57"/>
      <c r="AV111" s="57"/>
      <c r="AW111" s="57"/>
      <c r="AX111" s="57"/>
      <c r="AY111" s="57"/>
      <c r="AZ111" s="57"/>
      <c r="BA111" s="57"/>
      <c r="BB111" s="57"/>
    </row>
    <row r="112" spans="1:54" s="60" customFormat="1" ht="21.6" x14ac:dyDescent="0.25">
      <c r="A112" s="59"/>
      <c r="B112" s="65"/>
      <c r="C112" s="75"/>
      <c r="D112" s="24"/>
      <c r="E112" s="115"/>
      <c r="F112" s="27"/>
      <c r="G112" s="27"/>
      <c r="H112" s="25"/>
      <c r="I112" s="25"/>
      <c r="J112" s="25"/>
      <c r="K112" s="25"/>
      <c r="L112" s="25"/>
      <c r="M112" s="25"/>
      <c r="N112" s="25"/>
      <c r="O112" s="25"/>
      <c r="P112" s="25"/>
      <c r="Q112" s="25"/>
      <c r="R112" s="25"/>
      <c r="S112" s="57"/>
      <c r="T112" s="57"/>
      <c r="U112" s="57"/>
      <c r="V112" s="57"/>
      <c r="W112" s="57"/>
      <c r="X112" s="57"/>
      <c r="Y112" s="57"/>
      <c r="Z112" s="57"/>
      <c r="AA112" s="57"/>
      <c r="AB112" s="57"/>
      <c r="AC112" s="57"/>
      <c r="AD112" s="57"/>
      <c r="AE112" s="57"/>
      <c r="AF112" s="57"/>
      <c r="AG112" s="57"/>
      <c r="AH112" s="57"/>
      <c r="AI112" s="57"/>
      <c r="AJ112" s="57"/>
      <c r="AK112" s="57"/>
      <c r="AL112" s="57"/>
      <c r="AM112" s="57"/>
      <c r="AN112" s="57"/>
      <c r="AO112" s="57"/>
      <c r="AP112" s="57"/>
      <c r="AQ112" s="57"/>
      <c r="AR112" s="57"/>
      <c r="AS112" s="57"/>
      <c r="AT112" s="57"/>
      <c r="AU112" s="57"/>
      <c r="AV112" s="57"/>
      <c r="AW112" s="57"/>
      <c r="AX112" s="57"/>
      <c r="AY112" s="57"/>
      <c r="AZ112" s="57"/>
      <c r="BA112" s="57"/>
      <c r="BB112" s="57"/>
    </row>
    <row r="113" spans="1:54" s="60" customFormat="1" ht="21.6" x14ac:dyDescent="0.25">
      <c r="A113" s="59"/>
      <c r="B113" s="65"/>
      <c r="C113" s="113">
        <v>36</v>
      </c>
      <c r="D113" s="7" t="s">
        <v>116</v>
      </c>
      <c r="E113" s="115"/>
      <c r="F113" s="26"/>
      <c r="G113" s="27"/>
      <c r="H113" s="25"/>
      <c r="I113" s="25"/>
      <c r="J113" s="25"/>
      <c r="K113" s="25"/>
      <c r="L113" s="25"/>
      <c r="M113" s="25"/>
      <c r="N113" s="25"/>
      <c r="O113" s="25"/>
      <c r="P113" s="25"/>
      <c r="Q113" s="25"/>
      <c r="R113" s="25"/>
      <c r="S113" s="57"/>
      <c r="T113" s="57"/>
      <c r="U113" s="57"/>
      <c r="V113" s="57"/>
      <c r="W113" s="57"/>
      <c r="X113" s="57"/>
      <c r="Y113" s="57"/>
      <c r="Z113" s="57"/>
      <c r="AA113" s="57"/>
      <c r="AB113" s="57"/>
      <c r="AC113" s="57"/>
      <c r="AD113" s="57"/>
      <c r="AE113" s="57"/>
      <c r="AF113" s="57"/>
      <c r="AG113" s="57"/>
      <c r="AH113" s="57"/>
      <c r="AI113" s="57"/>
      <c r="AJ113" s="57"/>
      <c r="AK113" s="57"/>
      <c r="AL113" s="57"/>
      <c r="AM113" s="57"/>
      <c r="AN113" s="57"/>
      <c r="AO113" s="57"/>
      <c r="AP113" s="57"/>
      <c r="AQ113" s="57"/>
      <c r="AR113" s="57"/>
      <c r="AS113" s="57"/>
      <c r="AT113" s="57"/>
      <c r="AU113" s="57"/>
      <c r="AV113" s="57"/>
      <c r="AW113" s="57"/>
      <c r="AX113" s="57"/>
      <c r="AY113" s="57"/>
      <c r="AZ113" s="57"/>
      <c r="BA113" s="57"/>
      <c r="BB113" s="57"/>
    </row>
    <row r="114" spans="1:54" s="60" customFormat="1" ht="21.6" x14ac:dyDescent="0.25">
      <c r="A114" s="59"/>
      <c r="B114" s="65"/>
      <c r="C114" s="113"/>
      <c r="D114" s="7" t="s">
        <v>117</v>
      </c>
      <c r="E114" s="115"/>
      <c r="F114" s="26"/>
      <c r="G114" s="27"/>
      <c r="H114" s="25"/>
      <c r="I114" s="25"/>
      <c r="J114" s="25"/>
      <c r="K114" s="25"/>
      <c r="L114" s="25"/>
      <c r="M114" s="25"/>
      <c r="N114" s="25"/>
      <c r="O114" s="25"/>
      <c r="P114" s="25"/>
      <c r="Q114" s="25"/>
      <c r="R114" s="25"/>
      <c r="S114" s="57"/>
      <c r="T114" s="57"/>
      <c r="U114" s="57"/>
      <c r="V114" s="57"/>
      <c r="W114" s="57"/>
      <c r="X114" s="57"/>
      <c r="Y114" s="57"/>
      <c r="Z114" s="57"/>
      <c r="AA114" s="57"/>
      <c r="AB114" s="57"/>
      <c r="AC114" s="57"/>
      <c r="AD114" s="57"/>
      <c r="AE114" s="57"/>
      <c r="AF114" s="57"/>
      <c r="AG114" s="57"/>
      <c r="AH114" s="57"/>
      <c r="AI114" s="57"/>
      <c r="AJ114" s="57"/>
      <c r="AK114" s="57"/>
      <c r="AL114" s="57"/>
      <c r="AM114" s="57"/>
      <c r="AN114" s="57"/>
      <c r="AO114" s="57"/>
      <c r="AP114" s="57"/>
      <c r="AQ114" s="57"/>
      <c r="AR114" s="57"/>
      <c r="AS114" s="57"/>
      <c r="AT114" s="57"/>
      <c r="AU114" s="57"/>
      <c r="AV114" s="57"/>
      <c r="AW114" s="57"/>
      <c r="AX114" s="57"/>
      <c r="AY114" s="57"/>
      <c r="AZ114" s="57"/>
      <c r="BA114" s="57"/>
      <c r="BB114" s="57"/>
    </row>
    <row r="115" spans="1:54" s="60" customFormat="1" ht="21.6" x14ac:dyDescent="0.25">
      <c r="A115" s="59"/>
      <c r="B115" s="65"/>
      <c r="C115" s="75"/>
      <c r="D115" s="24"/>
      <c r="E115" s="115"/>
      <c r="F115" s="27"/>
      <c r="G115" s="27"/>
      <c r="H115" s="25"/>
      <c r="I115" s="25"/>
      <c r="J115" s="25"/>
      <c r="K115" s="25"/>
      <c r="L115" s="25"/>
      <c r="M115" s="25"/>
      <c r="N115" s="25"/>
      <c r="O115" s="25"/>
      <c r="P115" s="25"/>
      <c r="Q115" s="25"/>
      <c r="R115" s="25"/>
      <c r="S115" s="57"/>
      <c r="T115" s="57"/>
      <c r="U115" s="57"/>
      <c r="V115" s="57"/>
      <c r="W115" s="57"/>
      <c r="X115" s="57"/>
      <c r="Y115" s="57"/>
      <c r="Z115" s="57"/>
      <c r="AA115" s="57"/>
      <c r="AB115" s="57"/>
      <c r="AC115" s="57"/>
      <c r="AD115" s="57"/>
      <c r="AE115" s="57"/>
      <c r="AF115" s="57"/>
      <c r="AG115" s="57"/>
      <c r="AH115" s="57"/>
      <c r="AI115" s="57"/>
      <c r="AJ115" s="57"/>
      <c r="AK115" s="57"/>
      <c r="AL115" s="57"/>
      <c r="AM115" s="57"/>
      <c r="AN115" s="57"/>
      <c r="AO115" s="57"/>
      <c r="AP115" s="57"/>
      <c r="AQ115" s="57"/>
      <c r="AR115" s="57"/>
      <c r="AS115" s="57"/>
      <c r="AT115" s="57"/>
      <c r="AU115" s="57"/>
      <c r="AV115" s="57"/>
      <c r="AW115" s="57"/>
      <c r="AX115" s="57"/>
      <c r="AY115" s="57"/>
      <c r="AZ115" s="57"/>
      <c r="BA115" s="57"/>
      <c r="BB115" s="57"/>
    </row>
    <row r="116" spans="1:54" s="60" customFormat="1" ht="21.6" x14ac:dyDescent="0.25">
      <c r="A116" s="59"/>
      <c r="B116" s="65"/>
      <c r="C116" s="113">
        <v>37</v>
      </c>
      <c r="D116" s="7" t="s">
        <v>118</v>
      </c>
      <c r="E116" s="115"/>
      <c r="F116" s="26"/>
      <c r="G116" s="27"/>
      <c r="H116" s="25"/>
      <c r="I116" s="25"/>
      <c r="J116" s="25"/>
      <c r="K116" s="25"/>
      <c r="L116" s="25"/>
      <c r="M116" s="25"/>
      <c r="N116" s="25"/>
      <c r="O116" s="25"/>
      <c r="P116" s="25"/>
      <c r="Q116" s="25"/>
      <c r="R116" s="25"/>
      <c r="S116" s="57"/>
      <c r="T116" s="57"/>
      <c r="U116" s="57"/>
      <c r="V116" s="57"/>
      <c r="W116" s="57"/>
      <c r="X116" s="57"/>
      <c r="Y116" s="57"/>
      <c r="Z116" s="57"/>
      <c r="AA116" s="57"/>
      <c r="AB116" s="57"/>
      <c r="AC116" s="57"/>
      <c r="AD116" s="57"/>
      <c r="AE116" s="57"/>
      <c r="AF116" s="57"/>
      <c r="AG116" s="57"/>
      <c r="AH116" s="57"/>
      <c r="AI116" s="57"/>
      <c r="AJ116" s="57"/>
      <c r="AK116" s="57"/>
      <c r="AL116" s="57"/>
      <c r="AM116" s="57"/>
      <c r="AN116" s="57"/>
      <c r="AO116" s="57"/>
      <c r="AP116" s="57"/>
      <c r="AQ116" s="57"/>
      <c r="AR116" s="57"/>
      <c r="AS116" s="57"/>
      <c r="AT116" s="57"/>
      <c r="AU116" s="57"/>
      <c r="AV116" s="57"/>
      <c r="AW116" s="57"/>
      <c r="AX116" s="57"/>
      <c r="AY116" s="57"/>
      <c r="AZ116" s="57"/>
      <c r="BA116" s="57"/>
      <c r="BB116" s="57"/>
    </row>
    <row r="117" spans="1:54" s="60" customFormat="1" ht="21.6" x14ac:dyDescent="0.25">
      <c r="A117" s="59"/>
      <c r="B117" s="65"/>
      <c r="C117" s="113"/>
      <c r="D117" s="7" t="s">
        <v>119</v>
      </c>
      <c r="E117" s="115"/>
      <c r="F117" s="26"/>
      <c r="G117" s="27"/>
      <c r="H117" s="25"/>
      <c r="I117" s="25"/>
      <c r="J117" s="25"/>
      <c r="K117" s="25"/>
      <c r="L117" s="25"/>
      <c r="M117" s="25"/>
      <c r="N117" s="25"/>
      <c r="O117" s="25"/>
      <c r="P117" s="25"/>
      <c r="Q117" s="25"/>
      <c r="R117" s="25"/>
      <c r="S117" s="57"/>
      <c r="T117" s="57"/>
      <c r="U117" s="57"/>
      <c r="V117" s="57"/>
      <c r="W117" s="57"/>
      <c r="X117" s="57"/>
      <c r="Y117" s="57"/>
      <c r="Z117" s="57"/>
      <c r="AA117" s="57"/>
      <c r="AB117" s="57"/>
      <c r="AC117" s="57"/>
      <c r="AD117" s="57"/>
      <c r="AE117" s="57"/>
      <c r="AF117" s="57"/>
      <c r="AG117" s="57"/>
      <c r="AH117" s="57"/>
      <c r="AI117" s="57"/>
      <c r="AJ117" s="57"/>
      <c r="AK117" s="57"/>
      <c r="AL117" s="57"/>
      <c r="AM117" s="57"/>
      <c r="AN117" s="57"/>
      <c r="AO117" s="57"/>
      <c r="AP117" s="57"/>
      <c r="AQ117" s="57"/>
      <c r="AR117" s="57"/>
      <c r="AS117" s="57"/>
      <c r="AT117" s="57"/>
      <c r="AU117" s="57"/>
      <c r="AV117" s="57"/>
      <c r="AW117" s="57"/>
      <c r="AX117" s="57"/>
      <c r="AY117" s="57"/>
      <c r="AZ117" s="57"/>
      <c r="BA117" s="57"/>
      <c r="BB117" s="57"/>
    </row>
    <row r="118" spans="1:54" s="60" customFormat="1" ht="21.6" x14ac:dyDescent="0.25">
      <c r="A118" s="59"/>
      <c r="B118" s="65"/>
      <c r="C118" s="75"/>
      <c r="D118" s="24"/>
      <c r="E118" s="115"/>
      <c r="F118" s="27"/>
      <c r="G118" s="27"/>
      <c r="H118" s="25"/>
      <c r="I118" s="25"/>
      <c r="J118" s="25"/>
      <c r="K118" s="25"/>
      <c r="L118" s="25"/>
      <c r="M118" s="25"/>
      <c r="N118" s="25"/>
      <c r="O118" s="25"/>
      <c r="P118" s="25"/>
      <c r="Q118" s="25"/>
      <c r="R118" s="25"/>
      <c r="S118" s="57"/>
      <c r="T118" s="57"/>
      <c r="U118" s="57"/>
      <c r="V118" s="57"/>
      <c r="W118" s="57"/>
      <c r="X118" s="57"/>
      <c r="Y118" s="57"/>
      <c r="Z118" s="57"/>
      <c r="AA118" s="57"/>
      <c r="AB118" s="57"/>
      <c r="AC118" s="57"/>
      <c r="AD118" s="57"/>
      <c r="AE118" s="57"/>
      <c r="AF118" s="57"/>
      <c r="AG118" s="57"/>
      <c r="AH118" s="57"/>
      <c r="AI118" s="57"/>
      <c r="AJ118" s="57"/>
      <c r="AK118" s="57"/>
      <c r="AL118" s="57"/>
      <c r="AM118" s="57"/>
      <c r="AN118" s="57"/>
      <c r="AO118" s="57"/>
      <c r="AP118" s="57"/>
      <c r="AQ118" s="57"/>
      <c r="AR118" s="57"/>
      <c r="AS118" s="57"/>
      <c r="AT118" s="57"/>
      <c r="AU118" s="57"/>
      <c r="AV118" s="57"/>
      <c r="AW118" s="57"/>
      <c r="AX118" s="57"/>
      <c r="AY118" s="57"/>
      <c r="AZ118" s="57"/>
      <c r="BA118" s="57"/>
      <c r="BB118" s="57"/>
    </row>
    <row r="119" spans="1:54" s="60" customFormat="1" ht="21.6" x14ac:dyDescent="0.25">
      <c r="A119" s="59"/>
      <c r="B119" s="65"/>
      <c r="C119" s="113">
        <v>38</v>
      </c>
      <c r="D119" s="7" t="s">
        <v>120</v>
      </c>
      <c r="E119" s="115"/>
      <c r="F119" s="26"/>
      <c r="G119" s="27"/>
      <c r="H119" s="25"/>
      <c r="I119" s="25"/>
      <c r="J119" s="25"/>
      <c r="K119" s="25"/>
      <c r="L119" s="25"/>
      <c r="M119" s="25"/>
      <c r="N119" s="25"/>
      <c r="O119" s="25"/>
      <c r="P119" s="25"/>
      <c r="Q119" s="25"/>
      <c r="R119" s="25"/>
      <c r="S119" s="57"/>
      <c r="T119" s="57"/>
      <c r="U119" s="57"/>
      <c r="V119" s="57"/>
      <c r="W119" s="57"/>
      <c r="X119" s="57"/>
      <c r="Y119" s="57"/>
      <c r="Z119" s="57"/>
      <c r="AA119" s="57"/>
      <c r="AB119" s="57"/>
      <c r="AC119" s="57"/>
      <c r="AD119" s="57"/>
      <c r="AE119" s="57"/>
      <c r="AF119" s="57"/>
      <c r="AG119" s="57"/>
      <c r="AH119" s="57"/>
      <c r="AI119" s="57"/>
      <c r="AJ119" s="57"/>
      <c r="AK119" s="57"/>
      <c r="AL119" s="57"/>
      <c r="AM119" s="57"/>
      <c r="AN119" s="57"/>
      <c r="AO119" s="57"/>
      <c r="AP119" s="57"/>
      <c r="AQ119" s="57"/>
      <c r="AR119" s="57"/>
      <c r="AS119" s="57"/>
      <c r="AT119" s="57"/>
      <c r="AU119" s="57"/>
      <c r="AV119" s="57"/>
      <c r="AW119" s="57"/>
      <c r="AX119" s="57"/>
      <c r="AY119" s="57"/>
      <c r="AZ119" s="57"/>
      <c r="BA119" s="57"/>
      <c r="BB119" s="57"/>
    </row>
    <row r="120" spans="1:54" s="60" customFormat="1" ht="21.6" x14ac:dyDescent="0.25">
      <c r="A120" s="59"/>
      <c r="B120" s="65"/>
      <c r="C120" s="113"/>
      <c r="D120" s="7" t="s">
        <v>121</v>
      </c>
      <c r="E120" s="115"/>
      <c r="F120" s="26"/>
      <c r="G120" s="27"/>
      <c r="H120" s="25"/>
      <c r="I120" s="25"/>
      <c r="J120" s="25"/>
      <c r="K120" s="25"/>
      <c r="L120" s="25"/>
      <c r="M120" s="25"/>
      <c r="N120" s="25"/>
      <c r="O120" s="25"/>
      <c r="P120" s="25"/>
      <c r="Q120" s="25"/>
      <c r="R120" s="25"/>
      <c r="S120" s="57"/>
      <c r="T120" s="57"/>
      <c r="U120" s="57"/>
      <c r="V120" s="57"/>
      <c r="W120" s="57"/>
      <c r="X120" s="57"/>
      <c r="Y120" s="57"/>
      <c r="Z120" s="57"/>
      <c r="AA120" s="57"/>
      <c r="AB120" s="57"/>
      <c r="AC120" s="57"/>
      <c r="AD120" s="57"/>
      <c r="AE120" s="57"/>
      <c r="AF120" s="57"/>
      <c r="AG120" s="57"/>
      <c r="AH120" s="57"/>
      <c r="AI120" s="57"/>
      <c r="AJ120" s="57"/>
      <c r="AK120" s="57"/>
      <c r="AL120" s="57"/>
      <c r="AM120" s="57"/>
      <c r="AN120" s="57"/>
      <c r="AO120" s="57"/>
      <c r="AP120" s="57"/>
      <c r="AQ120" s="57"/>
      <c r="AR120" s="57"/>
      <c r="AS120" s="57"/>
      <c r="AT120" s="57"/>
      <c r="AU120" s="57"/>
      <c r="AV120" s="57"/>
      <c r="AW120" s="57"/>
      <c r="AX120" s="57"/>
      <c r="AY120" s="57"/>
      <c r="AZ120" s="57"/>
      <c r="BA120" s="57"/>
      <c r="BB120" s="57"/>
    </row>
    <row r="121" spans="1:54" s="60" customFormat="1" ht="21.6" x14ac:dyDescent="0.25">
      <c r="A121" s="59"/>
      <c r="B121" s="65"/>
      <c r="C121" s="75"/>
      <c r="D121" s="24"/>
      <c r="E121" s="115"/>
      <c r="F121" s="27"/>
      <c r="G121" s="27"/>
      <c r="H121" s="25"/>
      <c r="I121" s="25"/>
      <c r="J121" s="25"/>
      <c r="K121" s="25"/>
      <c r="L121" s="25"/>
      <c r="M121" s="25"/>
      <c r="N121" s="25"/>
      <c r="O121" s="25"/>
      <c r="P121" s="25"/>
      <c r="Q121" s="25"/>
      <c r="R121" s="25"/>
      <c r="S121" s="57"/>
      <c r="T121" s="57"/>
      <c r="U121" s="57"/>
      <c r="V121" s="57"/>
      <c r="W121" s="57"/>
      <c r="X121" s="57"/>
      <c r="Y121" s="57"/>
      <c r="Z121" s="57"/>
      <c r="AA121" s="57"/>
      <c r="AB121" s="57"/>
      <c r="AC121" s="57"/>
      <c r="AD121" s="57"/>
      <c r="AE121" s="57"/>
      <c r="AF121" s="57"/>
      <c r="AG121" s="57"/>
      <c r="AH121" s="57"/>
      <c r="AI121" s="57"/>
      <c r="AJ121" s="57"/>
      <c r="AK121" s="57"/>
      <c r="AL121" s="57"/>
      <c r="AM121" s="57"/>
      <c r="AN121" s="57"/>
      <c r="AO121" s="57"/>
      <c r="AP121" s="57"/>
      <c r="AQ121" s="57"/>
      <c r="AR121" s="57"/>
      <c r="AS121" s="57"/>
      <c r="AT121" s="57"/>
      <c r="AU121" s="57"/>
      <c r="AV121" s="57"/>
      <c r="AW121" s="57"/>
      <c r="AX121" s="57"/>
      <c r="AY121" s="57"/>
      <c r="AZ121" s="57"/>
      <c r="BA121" s="57"/>
      <c r="BB121" s="57"/>
    </row>
    <row r="122" spans="1:54" s="60" customFormat="1" ht="21.6" x14ac:dyDescent="0.25">
      <c r="A122" s="59"/>
      <c r="B122" s="65"/>
      <c r="C122" s="113">
        <v>39</v>
      </c>
      <c r="D122" s="7" t="s">
        <v>122</v>
      </c>
      <c r="E122" s="115"/>
      <c r="F122" s="53"/>
      <c r="G122" s="27"/>
      <c r="H122" s="25"/>
      <c r="I122" s="25"/>
      <c r="J122" s="25"/>
      <c r="K122" s="25"/>
      <c r="L122" s="25"/>
      <c r="M122" s="25"/>
      <c r="N122" s="25"/>
      <c r="O122" s="25"/>
      <c r="P122" s="25"/>
      <c r="Q122" s="25"/>
      <c r="R122" s="25"/>
      <c r="S122" s="57"/>
      <c r="T122" s="57"/>
      <c r="U122" s="57"/>
      <c r="V122" s="57"/>
      <c r="W122" s="57"/>
      <c r="X122" s="57"/>
      <c r="Y122" s="57"/>
      <c r="Z122" s="57"/>
      <c r="AA122" s="57"/>
      <c r="AB122" s="57"/>
      <c r="AC122" s="57"/>
      <c r="AD122" s="57"/>
      <c r="AE122" s="57"/>
      <c r="AF122" s="57"/>
      <c r="AG122" s="57"/>
      <c r="AH122" s="57"/>
      <c r="AI122" s="57"/>
      <c r="AJ122" s="57"/>
      <c r="AK122" s="57"/>
      <c r="AL122" s="57"/>
      <c r="AM122" s="57"/>
      <c r="AN122" s="57"/>
      <c r="AO122" s="57"/>
      <c r="AP122" s="57"/>
      <c r="AQ122" s="57"/>
      <c r="AR122" s="57"/>
      <c r="AS122" s="57"/>
      <c r="AT122" s="57"/>
      <c r="AU122" s="57"/>
      <c r="AV122" s="57"/>
      <c r="AW122" s="57"/>
      <c r="AX122" s="57"/>
      <c r="AY122" s="57"/>
      <c r="AZ122" s="57"/>
      <c r="BA122" s="57"/>
      <c r="BB122" s="57"/>
    </row>
    <row r="123" spans="1:54" s="60" customFormat="1" ht="21.6" x14ac:dyDescent="0.25">
      <c r="A123" s="59"/>
      <c r="B123" s="65"/>
      <c r="C123" s="113"/>
      <c r="D123" s="7" t="s">
        <v>123</v>
      </c>
      <c r="E123" s="115"/>
      <c r="F123" s="53"/>
      <c r="G123" s="27"/>
      <c r="H123" s="25"/>
      <c r="I123" s="25"/>
      <c r="J123" s="25"/>
      <c r="K123" s="25"/>
      <c r="L123" s="25"/>
      <c r="M123" s="25"/>
      <c r="N123" s="25"/>
      <c r="O123" s="25"/>
      <c r="P123" s="25"/>
      <c r="Q123" s="25"/>
      <c r="R123" s="25"/>
      <c r="S123" s="57"/>
      <c r="T123" s="57"/>
      <c r="U123" s="57"/>
      <c r="V123" s="57"/>
      <c r="W123" s="57"/>
      <c r="X123" s="57"/>
      <c r="Y123" s="57"/>
      <c r="Z123" s="57"/>
      <c r="AA123" s="57"/>
      <c r="AB123" s="57"/>
      <c r="AC123" s="57"/>
      <c r="AD123" s="57"/>
      <c r="AE123" s="57"/>
      <c r="AF123" s="57"/>
      <c r="AG123" s="57"/>
      <c r="AH123" s="57"/>
      <c r="AI123" s="57"/>
      <c r="AJ123" s="57"/>
      <c r="AK123" s="57"/>
      <c r="AL123" s="57"/>
      <c r="AM123" s="57"/>
      <c r="AN123" s="57"/>
      <c r="AO123" s="57"/>
      <c r="AP123" s="57"/>
      <c r="AQ123" s="57"/>
      <c r="AR123" s="57"/>
      <c r="AS123" s="57"/>
      <c r="AT123" s="57"/>
      <c r="AU123" s="57"/>
      <c r="AV123" s="57"/>
      <c r="AW123" s="57"/>
      <c r="AX123" s="57"/>
      <c r="AY123" s="57"/>
      <c r="AZ123" s="57"/>
      <c r="BA123" s="57"/>
      <c r="BB123" s="57"/>
    </row>
    <row r="124" spans="1:54" s="60" customFormat="1" ht="21.6" x14ac:dyDescent="0.25">
      <c r="A124" s="59"/>
      <c r="B124" s="65"/>
      <c r="C124" s="75"/>
      <c r="D124" s="24"/>
      <c r="E124" s="115"/>
      <c r="F124" s="27"/>
      <c r="G124" s="27"/>
      <c r="H124" s="25"/>
      <c r="I124" s="25"/>
      <c r="J124" s="25"/>
      <c r="K124" s="25"/>
      <c r="L124" s="25"/>
      <c r="M124" s="25"/>
      <c r="N124" s="25"/>
      <c r="O124" s="25"/>
      <c r="P124" s="25"/>
      <c r="Q124" s="25"/>
      <c r="R124" s="25"/>
      <c r="S124" s="57"/>
      <c r="T124" s="57"/>
      <c r="U124" s="57"/>
      <c r="V124" s="57"/>
      <c r="W124" s="57"/>
      <c r="X124" s="57"/>
      <c r="Y124" s="57"/>
      <c r="Z124" s="57"/>
      <c r="AA124" s="57"/>
      <c r="AB124" s="57"/>
      <c r="AC124" s="57"/>
      <c r="AD124" s="57"/>
      <c r="AE124" s="57"/>
      <c r="AF124" s="57"/>
      <c r="AG124" s="57"/>
      <c r="AH124" s="57"/>
      <c r="AI124" s="57"/>
      <c r="AJ124" s="57"/>
      <c r="AK124" s="57"/>
      <c r="AL124" s="57"/>
      <c r="AM124" s="57"/>
      <c r="AN124" s="57"/>
      <c r="AO124" s="57"/>
      <c r="AP124" s="57"/>
      <c r="AQ124" s="57"/>
      <c r="AR124" s="57"/>
      <c r="AS124" s="57"/>
      <c r="AT124" s="57"/>
      <c r="AU124" s="57"/>
      <c r="AV124" s="57"/>
      <c r="AW124" s="57"/>
      <c r="AX124" s="57"/>
      <c r="AY124" s="57"/>
      <c r="AZ124" s="57"/>
      <c r="BA124" s="57"/>
      <c r="BB124" s="57"/>
    </row>
    <row r="125" spans="1:54" s="60" customFormat="1" ht="21.6" x14ac:dyDescent="0.25">
      <c r="A125" s="59"/>
      <c r="B125" s="65"/>
      <c r="C125" s="113">
        <v>40</v>
      </c>
      <c r="D125" s="7" t="s">
        <v>124</v>
      </c>
      <c r="E125" s="115"/>
      <c r="F125" s="26"/>
      <c r="G125" s="27"/>
      <c r="H125" s="25"/>
      <c r="I125" s="25"/>
      <c r="J125" s="25"/>
      <c r="K125" s="25"/>
      <c r="L125" s="25"/>
      <c r="M125" s="25"/>
      <c r="N125" s="25"/>
      <c r="O125" s="25"/>
      <c r="P125" s="25"/>
      <c r="Q125" s="25"/>
      <c r="R125" s="25"/>
      <c r="S125" s="57"/>
      <c r="T125" s="57"/>
      <c r="U125" s="57"/>
      <c r="V125" s="57"/>
      <c r="W125" s="57"/>
      <c r="X125" s="57"/>
      <c r="Y125" s="57"/>
      <c r="Z125" s="57"/>
      <c r="AA125" s="57"/>
      <c r="AB125" s="57"/>
      <c r="AC125" s="57"/>
      <c r="AD125" s="57"/>
      <c r="AE125" s="57"/>
      <c r="AF125" s="57"/>
      <c r="AG125" s="57"/>
      <c r="AH125" s="57"/>
      <c r="AI125" s="57"/>
      <c r="AJ125" s="57"/>
      <c r="AK125" s="57"/>
      <c r="AL125" s="57"/>
      <c r="AM125" s="57"/>
      <c r="AN125" s="57"/>
      <c r="AO125" s="57"/>
      <c r="AP125" s="57"/>
      <c r="AQ125" s="57"/>
      <c r="AR125" s="57"/>
      <c r="AS125" s="57"/>
      <c r="AT125" s="57"/>
      <c r="AU125" s="57"/>
      <c r="AV125" s="57"/>
      <c r="AW125" s="57"/>
      <c r="AX125" s="57"/>
      <c r="AY125" s="57"/>
      <c r="AZ125" s="57"/>
      <c r="BA125" s="57"/>
      <c r="BB125" s="57"/>
    </row>
    <row r="126" spans="1:54" s="62" customFormat="1" ht="21.6" x14ac:dyDescent="0.25">
      <c r="A126" s="61"/>
      <c r="B126" s="61"/>
      <c r="C126" s="113"/>
      <c r="D126" s="7" t="s">
        <v>125</v>
      </c>
      <c r="E126" s="115"/>
      <c r="F126" s="26"/>
      <c r="G126" s="27"/>
      <c r="H126" s="25"/>
      <c r="I126" s="25"/>
      <c r="J126" s="25"/>
      <c r="K126" s="25"/>
      <c r="L126" s="25"/>
      <c r="M126" s="25"/>
      <c r="N126" s="25"/>
      <c r="O126" s="25"/>
      <c r="P126" s="25"/>
      <c r="Q126" s="25"/>
      <c r="R126" s="25"/>
      <c r="S126" s="57"/>
      <c r="T126" s="57"/>
      <c r="U126" s="57"/>
      <c r="V126" s="57"/>
      <c r="W126" s="57"/>
      <c r="X126" s="57"/>
      <c r="Y126" s="57"/>
      <c r="Z126" s="57"/>
      <c r="AA126" s="57"/>
      <c r="AB126" s="57"/>
      <c r="AC126" s="57"/>
      <c r="AD126" s="57"/>
      <c r="AE126" s="57"/>
      <c r="AF126" s="57"/>
      <c r="AG126" s="57"/>
      <c r="AH126" s="57"/>
      <c r="AI126" s="57"/>
      <c r="AJ126" s="57"/>
      <c r="AK126" s="57"/>
      <c r="AL126" s="57"/>
      <c r="AM126" s="57"/>
      <c r="AN126" s="57"/>
      <c r="AO126" s="57"/>
      <c r="AP126" s="57"/>
      <c r="AQ126" s="57"/>
      <c r="AR126" s="57"/>
      <c r="AS126" s="57"/>
      <c r="AT126" s="57"/>
      <c r="AU126" s="57"/>
      <c r="AV126" s="57"/>
      <c r="AW126" s="57"/>
      <c r="AX126" s="57"/>
      <c r="AY126" s="57"/>
      <c r="AZ126" s="57"/>
      <c r="BA126" s="57"/>
      <c r="BB126" s="57"/>
    </row>
    <row r="127" spans="1:54" s="62" customFormat="1" ht="21.6" x14ac:dyDescent="0.25">
      <c r="A127" s="61"/>
      <c r="B127" s="61"/>
      <c r="C127" s="75"/>
      <c r="D127" s="24"/>
      <c r="E127" s="115"/>
      <c r="F127" s="27"/>
      <c r="G127" s="27"/>
      <c r="H127" s="25"/>
      <c r="I127" s="25"/>
      <c r="J127" s="25"/>
      <c r="K127" s="25"/>
      <c r="L127" s="25"/>
      <c r="M127" s="25"/>
      <c r="N127" s="25"/>
      <c r="O127" s="25"/>
      <c r="P127" s="25"/>
      <c r="Q127" s="25"/>
      <c r="R127" s="25"/>
      <c r="S127" s="57"/>
      <c r="T127" s="57"/>
      <c r="U127" s="57"/>
      <c r="V127" s="57"/>
      <c r="W127" s="57"/>
      <c r="X127" s="57"/>
      <c r="Y127" s="57"/>
      <c r="Z127" s="57"/>
      <c r="AA127" s="57"/>
      <c r="AB127" s="57"/>
      <c r="AC127" s="57"/>
      <c r="AD127" s="57"/>
      <c r="AE127" s="57"/>
      <c r="AF127" s="57"/>
      <c r="AG127" s="57"/>
      <c r="AH127" s="57"/>
      <c r="AI127" s="57"/>
      <c r="AJ127" s="57"/>
      <c r="AK127" s="57"/>
      <c r="AL127" s="57"/>
      <c r="AM127" s="57"/>
      <c r="AN127" s="57"/>
      <c r="AO127" s="57"/>
      <c r="AP127" s="57"/>
      <c r="AQ127" s="57"/>
      <c r="AR127" s="57"/>
      <c r="AS127" s="57"/>
      <c r="AT127" s="57"/>
      <c r="AU127" s="57"/>
      <c r="AV127" s="57"/>
      <c r="AW127" s="57"/>
      <c r="AX127" s="57"/>
      <c r="AY127" s="57"/>
      <c r="AZ127" s="57"/>
      <c r="BA127" s="57"/>
      <c r="BB127" s="57"/>
    </row>
    <row r="128" spans="1:54" s="62" customFormat="1" ht="21.6" x14ac:dyDescent="0.25">
      <c r="A128" s="61"/>
      <c r="B128" s="61"/>
      <c r="C128" s="113">
        <v>41</v>
      </c>
      <c r="D128" s="7" t="s">
        <v>126</v>
      </c>
      <c r="E128" s="115"/>
      <c r="F128" s="26"/>
      <c r="G128" s="27"/>
      <c r="H128" s="25"/>
      <c r="I128" s="25"/>
      <c r="J128" s="25"/>
      <c r="K128" s="25"/>
      <c r="L128" s="25"/>
      <c r="M128" s="25"/>
      <c r="N128" s="25"/>
      <c r="O128" s="25"/>
      <c r="P128" s="25"/>
      <c r="Q128" s="25"/>
      <c r="R128" s="25"/>
      <c r="S128" s="57"/>
      <c r="T128" s="57"/>
      <c r="U128" s="57"/>
      <c r="V128" s="57"/>
      <c r="W128" s="57"/>
      <c r="X128" s="57"/>
      <c r="Y128" s="57"/>
      <c r="Z128" s="57"/>
      <c r="AA128" s="57"/>
      <c r="AB128" s="57"/>
      <c r="AC128" s="57"/>
      <c r="AD128" s="57"/>
      <c r="AE128" s="57"/>
      <c r="AF128" s="57"/>
      <c r="AG128" s="57"/>
      <c r="AH128" s="57"/>
      <c r="AI128" s="57"/>
      <c r="AJ128" s="57"/>
      <c r="AK128" s="57"/>
      <c r="AL128" s="57"/>
      <c r="AM128" s="57"/>
      <c r="AN128" s="57"/>
      <c r="AO128" s="57"/>
      <c r="AP128" s="57"/>
      <c r="AQ128" s="57"/>
      <c r="AR128" s="57"/>
      <c r="AS128" s="57"/>
      <c r="AT128" s="57"/>
      <c r="AU128" s="57"/>
      <c r="AV128" s="57"/>
      <c r="AW128" s="57"/>
      <c r="AX128" s="57"/>
      <c r="AY128" s="57"/>
      <c r="AZ128" s="57"/>
      <c r="BA128" s="57"/>
      <c r="BB128" s="57"/>
    </row>
    <row r="129" spans="1:54" s="62" customFormat="1" ht="21.6" x14ac:dyDescent="0.25">
      <c r="A129" s="61"/>
      <c r="B129" s="61"/>
      <c r="C129" s="113"/>
      <c r="D129" s="7" t="s">
        <v>127</v>
      </c>
      <c r="E129" s="115"/>
      <c r="F129" s="26"/>
      <c r="G129" s="27"/>
      <c r="H129" s="25"/>
      <c r="I129" s="25"/>
      <c r="J129" s="25"/>
      <c r="K129" s="25"/>
      <c r="L129" s="25"/>
      <c r="M129" s="25"/>
      <c r="N129" s="25"/>
      <c r="O129" s="25"/>
      <c r="P129" s="25"/>
      <c r="Q129" s="25"/>
      <c r="R129" s="25"/>
      <c r="S129" s="57"/>
      <c r="T129" s="57"/>
      <c r="U129" s="57"/>
      <c r="V129" s="57"/>
      <c r="W129" s="57"/>
      <c r="X129" s="57"/>
      <c r="Y129" s="57"/>
      <c r="Z129" s="57"/>
      <c r="AA129" s="57"/>
      <c r="AB129" s="57"/>
      <c r="AC129" s="57"/>
      <c r="AD129" s="57"/>
      <c r="AE129" s="57"/>
      <c r="AF129" s="57"/>
      <c r="AG129" s="57"/>
      <c r="AH129" s="57"/>
      <c r="AI129" s="57"/>
      <c r="AJ129" s="57"/>
      <c r="AK129" s="57"/>
      <c r="AL129" s="57"/>
      <c r="AM129" s="57"/>
      <c r="AN129" s="57"/>
      <c r="AO129" s="57"/>
      <c r="AP129" s="57"/>
      <c r="AQ129" s="57"/>
      <c r="AR129" s="57"/>
      <c r="AS129" s="57"/>
      <c r="AT129" s="57"/>
      <c r="AU129" s="57"/>
      <c r="AV129" s="57"/>
      <c r="AW129" s="57"/>
      <c r="AX129" s="57"/>
      <c r="AY129" s="57"/>
      <c r="AZ129" s="57"/>
      <c r="BA129" s="57"/>
      <c r="BB129" s="57"/>
    </row>
    <row r="130" spans="1:54" s="62" customFormat="1" ht="21.6" x14ac:dyDescent="0.25">
      <c r="A130" s="61"/>
      <c r="B130" s="61"/>
      <c r="C130" s="75"/>
      <c r="D130" s="24"/>
      <c r="E130" s="115"/>
      <c r="F130" s="27"/>
      <c r="G130" s="27"/>
      <c r="H130" s="25"/>
      <c r="I130" s="25"/>
      <c r="J130" s="25"/>
      <c r="K130" s="25"/>
      <c r="L130" s="25"/>
      <c r="M130" s="25"/>
      <c r="N130" s="25"/>
      <c r="O130" s="25"/>
      <c r="P130" s="25"/>
      <c r="Q130" s="25"/>
      <c r="R130" s="25"/>
      <c r="S130" s="57"/>
      <c r="T130" s="57"/>
      <c r="U130" s="57"/>
      <c r="V130" s="57"/>
      <c r="W130" s="57"/>
      <c r="X130" s="57"/>
      <c r="Y130" s="57"/>
      <c r="Z130" s="57"/>
      <c r="AA130" s="57"/>
      <c r="AB130" s="57"/>
      <c r="AC130" s="57"/>
      <c r="AD130" s="57"/>
      <c r="AE130" s="57"/>
      <c r="AF130" s="57"/>
      <c r="AG130" s="57"/>
      <c r="AH130" s="57"/>
      <c r="AI130" s="57"/>
      <c r="AJ130" s="57"/>
      <c r="AK130" s="57"/>
      <c r="AL130" s="57"/>
      <c r="AM130" s="57"/>
      <c r="AN130" s="57"/>
      <c r="AO130" s="57"/>
      <c r="AP130" s="57"/>
      <c r="AQ130" s="57"/>
      <c r="AR130" s="57"/>
      <c r="AS130" s="57"/>
      <c r="AT130" s="57"/>
      <c r="AU130" s="57"/>
      <c r="AV130" s="57"/>
      <c r="AW130" s="57"/>
      <c r="AX130" s="57"/>
      <c r="AY130" s="57"/>
      <c r="AZ130" s="57"/>
      <c r="BA130" s="57"/>
      <c r="BB130" s="57"/>
    </row>
    <row r="131" spans="1:54" s="62" customFormat="1" ht="21.6" x14ac:dyDescent="0.25">
      <c r="A131" s="61"/>
      <c r="B131" s="61"/>
      <c r="C131" s="113">
        <v>42</v>
      </c>
      <c r="D131" s="7" t="s">
        <v>128</v>
      </c>
      <c r="E131" s="115"/>
      <c r="F131" s="26"/>
      <c r="G131" s="27"/>
      <c r="H131" s="25"/>
      <c r="I131" s="25"/>
      <c r="J131" s="25"/>
      <c r="K131" s="25"/>
      <c r="L131" s="25"/>
      <c r="M131" s="25"/>
      <c r="N131" s="25"/>
      <c r="O131" s="25"/>
      <c r="P131" s="25"/>
      <c r="Q131" s="25"/>
      <c r="R131" s="25"/>
      <c r="S131" s="57"/>
      <c r="T131" s="57"/>
      <c r="U131" s="57"/>
      <c r="V131" s="57"/>
      <c r="W131" s="57"/>
      <c r="X131" s="57"/>
      <c r="Y131" s="57"/>
      <c r="Z131" s="57"/>
      <c r="AA131" s="57"/>
      <c r="AB131" s="57"/>
      <c r="AC131" s="57"/>
      <c r="AD131" s="57"/>
      <c r="AE131" s="57"/>
      <c r="AF131" s="57"/>
      <c r="AG131" s="57"/>
      <c r="AH131" s="57"/>
      <c r="AI131" s="57"/>
      <c r="AJ131" s="57"/>
      <c r="AK131" s="57"/>
      <c r="AL131" s="57"/>
      <c r="AM131" s="57"/>
      <c r="AN131" s="57"/>
      <c r="AO131" s="57"/>
      <c r="AP131" s="57"/>
      <c r="AQ131" s="57"/>
      <c r="AR131" s="57"/>
      <c r="AS131" s="57"/>
      <c r="AT131" s="57"/>
      <c r="AU131" s="57"/>
      <c r="AV131" s="57"/>
      <c r="AW131" s="57"/>
      <c r="AX131" s="57"/>
      <c r="AY131" s="57"/>
      <c r="AZ131" s="57"/>
      <c r="BA131" s="57"/>
      <c r="BB131" s="57"/>
    </row>
    <row r="132" spans="1:54" s="62" customFormat="1" ht="21.6" x14ac:dyDescent="0.25">
      <c r="A132" s="61"/>
      <c r="B132" s="61"/>
      <c r="C132" s="113"/>
      <c r="D132" s="7" t="s">
        <v>129</v>
      </c>
      <c r="E132" s="115"/>
      <c r="F132" s="26"/>
      <c r="G132" s="27"/>
      <c r="H132" s="25"/>
      <c r="I132" s="25"/>
      <c r="J132" s="25"/>
      <c r="K132" s="25"/>
      <c r="L132" s="25"/>
      <c r="M132" s="25"/>
      <c r="N132" s="25"/>
      <c r="O132" s="25"/>
      <c r="P132" s="25"/>
      <c r="Q132" s="25"/>
      <c r="R132" s="25"/>
      <c r="S132" s="57"/>
      <c r="T132" s="57"/>
      <c r="U132" s="57"/>
      <c r="V132" s="57"/>
      <c r="W132" s="57"/>
      <c r="X132" s="57"/>
      <c r="Y132" s="57"/>
      <c r="Z132" s="57"/>
      <c r="AA132" s="57"/>
      <c r="AB132" s="57"/>
      <c r="AC132" s="57"/>
      <c r="AD132" s="57"/>
      <c r="AE132" s="57"/>
      <c r="AF132" s="57"/>
      <c r="AG132" s="57"/>
      <c r="AH132" s="57"/>
      <c r="AI132" s="57"/>
      <c r="AJ132" s="57"/>
      <c r="AK132" s="57"/>
      <c r="AL132" s="57"/>
      <c r="AM132" s="57"/>
      <c r="AN132" s="57"/>
      <c r="AO132" s="57"/>
      <c r="AP132" s="57"/>
      <c r="AQ132" s="57"/>
      <c r="AR132" s="57"/>
      <c r="AS132" s="57"/>
      <c r="AT132" s="57"/>
      <c r="AU132" s="57"/>
      <c r="AV132" s="57"/>
      <c r="AW132" s="57"/>
      <c r="AX132" s="57"/>
      <c r="AY132" s="57"/>
      <c r="AZ132" s="57"/>
      <c r="BA132" s="57"/>
      <c r="BB132" s="57"/>
    </row>
    <row r="133" spans="1:54" s="62" customFormat="1" ht="21.6" x14ac:dyDescent="0.25">
      <c r="A133" s="61"/>
      <c r="B133" s="61"/>
      <c r="C133" s="75"/>
      <c r="D133" s="24"/>
      <c r="E133" s="115"/>
      <c r="F133" s="27"/>
      <c r="G133" s="27"/>
      <c r="H133" s="25"/>
      <c r="I133" s="25"/>
      <c r="J133" s="25"/>
      <c r="K133" s="25"/>
      <c r="L133" s="25"/>
      <c r="M133" s="25"/>
      <c r="N133" s="25"/>
      <c r="O133" s="25"/>
      <c r="P133" s="25"/>
      <c r="Q133" s="25"/>
      <c r="R133" s="25"/>
      <c r="S133" s="57"/>
      <c r="T133" s="57"/>
      <c r="U133" s="57"/>
      <c r="V133" s="57"/>
      <c r="W133" s="57"/>
      <c r="X133" s="57"/>
      <c r="Y133" s="57"/>
      <c r="Z133" s="57"/>
      <c r="AA133" s="57"/>
      <c r="AB133" s="57"/>
      <c r="AC133" s="57"/>
      <c r="AD133" s="57"/>
      <c r="AE133" s="57"/>
      <c r="AF133" s="57"/>
      <c r="AG133" s="57"/>
      <c r="AH133" s="57"/>
      <c r="AI133" s="57"/>
      <c r="AJ133" s="57"/>
      <c r="AK133" s="57"/>
      <c r="AL133" s="57"/>
      <c r="AM133" s="57"/>
      <c r="AN133" s="57"/>
      <c r="AO133" s="57"/>
      <c r="AP133" s="57"/>
      <c r="AQ133" s="57"/>
      <c r="AR133" s="57"/>
      <c r="AS133" s="57"/>
      <c r="AT133" s="57"/>
      <c r="AU133" s="57"/>
      <c r="AV133" s="57"/>
      <c r="AW133" s="57"/>
      <c r="AX133" s="57"/>
      <c r="AY133" s="57"/>
      <c r="AZ133" s="57"/>
      <c r="BA133" s="57"/>
      <c r="BB133" s="57"/>
    </row>
    <row r="134" spans="1:54" s="62" customFormat="1" ht="21.6" x14ac:dyDescent="0.25">
      <c r="A134" s="61"/>
      <c r="B134" s="61"/>
      <c r="C134" s="113">
        <v>43</v>
      </c>
      <c r="D134" s="7" t="s">
        <v>130</v>
      </c>
      <c r="E134" s="115"/>
      <c r="F134" s="26"/>
      <c r="G134" s="27"/>
      <c r="H134" s="25"/>
      <c r="I134" s="25"/>
      <c r="J134" s="25"/>
      <c r="K134" s="25"/>
      <c r="L134" s="25"/>
      <c r="M134" s="25"/>
      <c r="N134" s="25"/>
      <c r="O134" s="25"/>
      <c r="P134" s="25"/>
      <c r="Q134" s="25"/>
      <c r="R134" s="25"/>
      <c r="S134" s="57"/>
      <c r="T134" s="57"/>
      <c r="U134" s="57"/>
      <c r="V134" s="57"/>
      <c r="W134" s="57"/>
      <c r="X134" s="57"/>
      <c r="Y134" s="57"/>
      <c r="Z134" s="57"/>
      <c r="AA134" s="57"/>
      <c r="AB134" s="57"/>
      <c r="AC134" s="57"/>
      <c r="AD134" s="57"/>
      <c r="AE134" s="57"/>
      <c r="AF134" s="57"/>
      <c r="AG134" s="57"/>
      <c r="AH134" s="57"/>
      <c r="AI134" s="57"/>
      <c r="AJ134" s="57"/>
      <c r="AK134" s="57"/>
      <c r="AL134" s="57"/>
      <c r="AM134" s="57"/>
      <c r="AN134" s="57"/>
      <c r="AO134" s="57"/>
      <c r="AP134" s="57"/>
      <c r="AQ134" s="57"/>
      <c r="AR134" s="57"/>
      <c r="AS134" s="57"/>
      <c r="AT134" s="57"/>
      <c r="AU134" s="57"/>
      <c r="AV134" s="57"/>
      <c r="AW134" s="57"/>
      <c r="AX134" s="57"/>
      <c r="AY134" s="57"/>
      <c r="AZ134" s="57"/>
      <c r="BA134" s="57"/>
      <c r="BB134" s="57"/>
    </row>
    <row r="135" spans="1:54" s="62" customFormat="1" ht="21.6" x14ac:dyDescent="0.25">
      <c r="A135" s="61"/>
      <c r="B135" s="61"/>
      <c r="C135" s="113"/>
      <c r="D135" s="7" t="s">
        <v>131</v>
      </c>
      <c r="E135" s="115"/>
      <c r="F135" s="26"/>
      <c r="G135" s="27"/>
      <c r="H135" s="25"/>
      <c r="I135" s="25"/>
      <c r="J135" s="25"/>
      <c r="K135" s="25"/>
      <c r="L135" s="25"/>
      <c r="M135" s="25"/>
      <c r="N135" s="25"/>
      <c r="O135" s="25"/>
      <c r="P135" s="25"/>
      <c r="Q135" s="25"/>
      <c r="R135" s="25"/>
      <c r="S135" s="57"/>
      <c r="T135" s="57"/>
      <c r="U135" s="57"/>
      <c r="V135" s="57"/>
      <c r="W135" s="57"/>
      <c r="X135" s="57"/>
      <c r="Y135" s="57"/>
      <c r="Z135" s="57"/>
      <c r="AA135" s="57"/>
      <c r="AB135" s="57"/>
      <c r="AC135" s="57"/>
      <c r="AD135" s="57"/>
      <c r="AE135" s="57"/>
      <c r="AF135" s="57"/>
      <c r="AG135" s="57"/>
      <c r="AH135" s="57"/>
      <c r="AI135" s="57"/>
      <c r="AJ135" s="57"/>
      <c r="AK135" s="57"/>
      <c r="AL135" s="57"/>
      <c r="AM135" s="57"/>
      <c r="AN135" s="57"/>
      <c r="AO135" s="57"/>
      <c r="AP135" s="57"/>
      <c r="AQ135" s="57"/>
      <c r="AR135" s="57"/>
      <c r="AS135" s="57"/>
      <c r="AT135" s="57"/>
      <c r="AU135" s="57"/>
      <c r="AV135" s="57"/>
      <c r="AW135" s="57"/>
      <c r="AX135" s="57"/>
      <c r="AY135" s="57"/>
      <c r="AZ135" s="57"/>
      <c r="BA135" s="57"/>
      <c r="BB135" s="57"/>
    </row>
    <row r="136" spans="1:54" s="62" customFormat="1" ht="21.6" x14ac:dyDescent="0.25">
      <c r="A136" s="61"/>
      <c r="B136" s="61"/>
      <c r="C136" s="75"/>
      <c r="D136" s="24"/>
      <c r="E136" s="115"/>
      <c r="F136" s="27"/>
      <c r="G136" s="27"/>
      <c r="H136" s="25"/>
      <c r="I136" s="25"/>
      <c r="J136" s="25"/>
      <c r="K136" s="25"/>
      <c r="L136" s="25"/>
      <c r="M136" s="25"/>
      <c r="N136" s="25"/>
      <c r="O136" s="25"/>
      <c r="P136" s="25"/>
      <c r="Q136" s="25"/>
      <c r="R136" s="25"/>
      <c r="S136" s="57"/>
      <c r="T136" s="57"/>
      <c r="U136" s="57"/>
      <c r="V136" s="57"/>
      <c r="W136" s="57"/>
      <c r="X136" s="57"/>
      <c r="Y136" s="57"/>
      <c r="Z136" s="57"/>
      <c r="AA136" s="57"/>
      <c r="AB136" s="57"/>
      <c r="AC136" s="57"/>
      <c r="AD136" s="57"/>
      <c r="AE136" s="57"/>
      <c r="AF136" s="57"/>
      <c r="AG136" s="57"/>
      <c r="AH136" s="57"/>
      <c r="AI136" s="57"/>
      <c r="AJ136" s="57"/>
      <c r="AK136" s="57"/>
      <c r="AL136" s="57"/>
      <c r="AM136" s="57"/>
      <c r="AN136" s="57"/>
      <c r="AO136" s="57"/>
      <c r="AP136" s="57"/>
      <c r="AQ136" s="57"/>
      <c r="AR136" s="57"/>
      <c r="AS136" s="57"/>
      <c r="AT136" s="57"/>
      <c r="AU136" s="57"/>
      <c r="AV136" s="57"/>
      <c r="AW136" s="57"/>
      <c r="AX136" s="57"/>
      <c r="AY136" s="57"/>
      <c r="AZ136" s="57"/>
      <c r="BA136" s="57"/>
      <c r="BB136" s="57"/>
    </row>
    <row r="137" spans="1:54" s="62" customFormat="1" ht="21.6" x14ac:dyDescent="0.25">
      <c r="A137" s="61"/>
      <c r="B137" s="61"/>
      <c r="C137" s="113">
        <v>44</v>
      </c>
      <c r="D137" s="7" t="s">
        <v>132</v>
      </c>
      <c r="E137" s="115"/>
      <c r="F137" s="26"/>
      <c r="G137" s="27"/>
      <c r="H137" s="25"/>
      <c r="I137" s="25"/>
      <c r="J137" s="25"/>
      <c r="K137" s="25"/>
      <c r="L137" s="25"/>
      <c r="M137" s="25"/>
      <c r="N137" s="25"/>
      <c r="O137" s="25"/>
      <c r="P137" s="25"/>
      <c r="Q137" s="25"/>
      <c r="R137" s="25"/>
      <c r="S137" s="57"/>
      <c r="T137" s="57"/>
      <c r="U137" s="57"/>
      <c r="V137" s="57"/>
      <c r="W137" s="57"/>
      <c r="X137" s="57"/>
      <c r="Y137" s="57"/>
      <c r="Z137" s="57"/>
      <c r="AA137" s="57"/>
      <c r="AB137" s="57"/>
      <c r="AC137" s="57"/>
      <c r="AD137" s="57"/>
      <c r="AE137" s="57"/>
      <c r="AF137" s="57"/>
      <c r="AG137" s="57"/>
      <c r="AH137" s="57"/>
      <c r="AI137" s="57"/>
      <c r="AJ137" s="57"/>
      <c r="AK137" s="57"/>
      <c r="AL137" s="57"/>
      <c r="AM137" s="57"/>
      <c r="AN137" s="57"/>
      <c r="AO137" s="57"/>
      <c r="AP137" s="57"/>
      <c r="AQ137" s="57"/>
      <c r="AR137" s="57"/>
      <c r="AS137" s="57"/>
      <c r="AT137" s="57"/>
      <c r="AU137" s="57"/>
      <c r="AV137" s="57"/>
      <c r="AW137" s="57"/>
      <c r="AX137" s="57"/>
      <c r="AY137" s="57"/>
      <c r="AZ137" s="57"/>
      <c r="BA137" s="57"/>
      <c r="BB137" s="57"/>
    </row>
    <row r="138" spans="1:54" s="62" customFormat="1" ht="21.6" x14ac:dyDescent="0.25">
      <c r="A138" s="61"/>
      <c r="B138" s="61"/>
      <c r="C138" s="113"/>
      <c r="D138" s="7" t="s">
        <v>133</v>
      </c>
      <c r="E138" s="115"/>
      <c r="F138" s="26"/>
      <c r="G138" s="27"/>
      <c r="H138" s="25"/>
      <c r="I138" s="25"/>
      <c r="J138" s="25"/>
      <c r="K138" s="25"/>
      <c r="L138" s="25"/>
      <c r="M138" s="25"/>
      <c r="N138" s="25"/>
      <c r="O138" s="25"/>
      <c r="P138" s="25"/>
      <c r="Q138" s="25"/>
      <c r="R138" s="25"/>
      <c r="S138" s="57"/>
      <c r="T138" s="57"/>
      <c r="U138" s="57"/>
      <c r="V138" s="57"/>
      <c r="W138" s="57"/>
      <c r="X138" s="57"/>
      <c r="Y138" s="57"/>
      <c r="Z138" s="57"/>
      <c r="AA138" s="57"/>
      <c r="AB138" s="57"/>
      <c r="AC138" s="57"/>
      <c r="AD138" s="57"/>
      <c r="AE138" s="57"/>
      <c r="AF138" s="57"/>
      <c r="AG138" s="57"/>
      <c r="AH138" s="57"/>
      <c r="AI138" s="57"/>
      <c r="AJ138" s="57"/>
      <c r="AK138" s="57"/>
      <c r="AL138" s="57"/>
      <c r="AM138" s="57"/>
      <c r="AN138" s="57"/>
      <c r="AO138" s="57"/>
      <c r="AP138" s="57"/>
      <c r="AQ138" s="57"/>
      <c r="AR138" s="57"/>
      <c r="AS138" s="57"/>
      <c r="AT138" s="57"/>
      <c r="AU138" s="57"/>
      <c r="AV138" s="57"/>
      <c r="AW138" s="57"/>
      <c r="AX138" s="57"/>
      <c r="AY138" s="57"/>
      <c r="AZ138" s="57"/>
      <c r="BA138" s="57"/>
      <c r="BB138" s="57"/>
    </row>
    <row r="139" spans="1:54" s="62" customFormat="1" ht="21.6" x14ac:dyDescent="0.25">
      <c r="A139" s="61"/>
      <c r="B139" s="61"/>
      <c r="C139" s="75"/>
      <c r="D139" s="24"/>
      <c r="E139" s="115"/>
      <c r="F139" s="27"/>
      <c r="G139" s="27"/>
      <c r="H139" s="25"/>
      <c r="I139" s="25"/>
      <c r="J139" s="25"/>
      <c r="K139" s="25"/>
      <c r="L139" s="25"/>
      <c r="M139" s="25"/>
      <c r="N139" s="25"/>
      <c r="O139" s="25"/>
      <c r="P139" s="25"/>
      <c r="Q139" s="25"/>
      <c r="R139" s="25"/>
      <c r="S139" s="57"/>
      <c r="T139" s="57"/>
      <c r="U139" s="57"/>
      <c r="V139" s="57"/>
      <c r="W139" s="57"/>
      <c r="X139" s="57"/>
      <c r="Y139" s="57"/>
      <c r="Z139" s="57"/>
      <c r="AA139" s="57"/>
      <c r="AB139" s="57"/>
      <c r="AC139" s="57"/>
      <c r="AD139" s="57"/>
      <c r="AE139" s="57"/>
      <c r="AF139" s="57"/>
      <c r="AG139" s="57"/>
      <c r="AH139" s="57"/>
      <c r="AI139" s="57"/>
      <c r="AJ139" s="57"/>
      <c r="AK139" s="57"/>
      <c r="AL139" s="57"/>
      <c r="AM139" s="57"/>
      <c r="AN139" s="57"/>
      <c r="AO139" s="57"/>
      <c r="AP139" s="57"/>
      <c r="AQ139" s="57"/>
      <c r="AR139" s="57"/>
      <c r="AS139" s="57"/>
      <c r="AT139" s="57"/>
      <c r="AU139" s="57"/>
      <c r="AV139" s="57"/>
      <c r="AW139" s="57"/>
      <c r="AX139" s="57"/>
      <c r="AY139" s="57"/>
      <c r="AZ139" s="57"/>
      <c r="BA139" s="57"/>
      <c r="BB139" s="57"/>
    </row>
    <row r="140" spans="1:54" s="62" customFormat="1" ht="21.6" x14ac:dyDescent="0.25">
      <c r="A140" s="61"/>
      <c r="B140" s="61"/>
      <c r="C140" s="113">
        <v>45</v>
      </c>
      <c r="D140" s="7" t="s">
        <v>134</v>
      </c>
      <c r="E140" s="115"/>
      <c r="F140" s="26"/>
      <c r="G140" s="27"/>
      <c r="H140" s="25"/>
      <c r="I140" s="25"/>
      <c r="J140" s="25"/>
      <c r="K140" s="25"/>
      <c r="L140" s="25"/>
      <c r="M140" s="25"/>
      <c r="N140" s="25"/>
      <c r="O140" s="25"/>
      <c r="P140" s="25"/>
      <c r="Q140" s="25"/>
      <c r="R140" s="25"/>
      <c r="S140" s="57"/>
      <c r="T140" s="57"/>
      <c r="U140" s="57"/>
      <c r="V140" s="57"/>
      <c r="W140" s="57"/>
      <c r="X140" s="57"/>
      <c r="Y140" s="57"/>
      <c r="Z140" s="57"/>
      <c r="AA140" s="57"/>
      <c r="AB140" s="57"/>
      <c r="AC140" s="57"/>
      <c r="AD140" s="57"/>
      <c r="AE140" s="57"/>
      <c r="AF140" s="57"/>
      <c r="AG140" s="57"/>
      <c r="AH140" s="57"/>
      <c r="AI140" s="57"/>
      <c r="AJ140" s="57"/>
      <c r="AK140" s="57"/>
      <c r="AL140" s="57"/>
      <c r="AM140" s="57"/>
      <c r="AN140" s="57"/>
      <c r="AO140" s="57"/>
      <c r="AP140" s="57"/>
      <c r="AQ140" s="57"/>
      <c r="AR140" s="57"/>
      <c r="AS140" s="57"/>
      <c r="AT140" s="57"/>
      <c r="AU140" s="57"/>
      <c r="AV140" s="57"/>
      <c r="AW140" s="57"/>
      <c r="AX140" s="57"/>
      <c r="AY140" s="57"/>
      <c r="AZ140" s="57"/>
      <c r="BA140" s="57"/>
      <c r="BB140" s="57"/>
    </row>
    <row r="141" spans="1:54" s="62" customFormat="1" ht="21.6" x14ac:dyDescent="0.25">
      <c r="A141" s="61"/>
      <c r="B141" s="61"/>
      <c r="C141" s="113"/>
      <c r="D141" s="7" t="s">
        <v>135</v>
      </c>
      <c r="E141" s="115"/>
      <c r="F141" s="26"/>
      <c r="G141" s="27"/>
      <c r="H141" s="25"/>
      <c r="I141" s="25"/>
      <c r="J141" s="25"/>
      <c r="K141" s="25"/>
      <c r="L141" s="25"/>
      <c r="M141" s="25"/>
      <c r="N141" s="25"/>
      <c r="O141" s="25"/>
      <c r="P141" s="25"/>
      <c r="Q141" s="25"/>
      <c r="R141" s="25"/>
      <c r="S141" s="57"/>
      <c r="T141" s="57"/>
      <c r="U141" s="57"/>
      <c r="V141" s="57"/>
      <c r="W141" s="57"/>
      <c r="X141" s="57"/>
      <c r="Y141" s="57"/>
      <c r="Z141" s="57"/>
      <c r="AA141" s="57"/>
      <c r="AB141" s="57"/>
      <c r="AC141" s="57"/>
      <c r="AD141" s="57"/>
      <c r="AE141" s="57"/>
      <c r="AF141" s="57"/>
      <c r="AG141" s="57"/>
      <c r="AH141" s="57"/>
      <c r="AI141" s="57"/>
      <c r="AJ141" s="57"/>
      <c r="AK141" s="57"/>
      <c r="AL141" s="57"/>
      <c r="AM141" s="57"/>
      <c r="AN141" s="57"/>
      <c r="AO141" s="57"/>
      <c r="AP141" s="57"/>
      <c r="AQ141" s="57"/>
      <c r="AR141" s="57"/>
      <c r="AS141" s="57"/>
      <c r="AT141" s="57"/>
      <c r="AU141" s="57"/>
      <c r="AV141" s="57"/>
      <c r="AW141" s="57"/>
      <c r="AX141" s="57"/>
      <c r="AY141" s="57"/>
      <c r="AZ141" s="57"/>
      <c r="BA141" s="57"/>
      <c r="BB141" s="57"/>
    </row>
    <row r="142" spans="1:54" s="62" customFormat="1" ht="21.6" x14ac:dyDescent="0.25">
      <c r="A142" s="61"/>
      <c r="B142" s="61"/>
      <c r="C142" s="75"/>
      <c r="D142" s="24"/>
      <c r="E142" s="115"/>
      <c r="F142" s="27"/>
      <c r="G142" s="27"/>
      <c r="H142" s="25"/>
      <c r="I142" s="25"/>
      <c r="J142" s="25"/>
      <c r="K142" s="25"/>
      <c r="L142" s="25"/>
      <c r="M142" s="25"/>
      <c r="N142" s="25"/>
      <c r="O142" s="25"/>
      <c r="P142" s="25"/>
      <c r="Q142" s="25"/>
      <c r="R142" s="25"/>
      <c r="S142" s="57"/>
      <c r="T142" s="57"/>
      <c r="U142" s="57"/>
      <c r="V142" s="57"/>
      <c r="W142" s="57"/>
      <c r="X142" s="57"/>
      <c r="Y142" s="57"/>
      <c r="Z142" s="57"/>
      <c r="AA142" s="57"/>
      <c r="AB142" s="57"/>
      <c r="AC142" s="57"/>
      <c r="AD142" s="57"/>
      <c r="AE142" s="57"/>
      <c r="AF142" s="57"/>
      <c r="AG142" s="57"/>
      <c r="AH142" s="57"/>
      <c r="AI142" s="57"/>
      <c r="AJ142" s="57"/>
      <c r="AK142" s="57"/>
      <c r="AL142" s="57"/>
      <c r="AM142" s="57"/>
      <c r="AN142" s="57"/>
      <c r="AO142" s="57"/>
      <c r="AP142" s="57"/>
      <c r="AQ142" s="57"/>
      <c r="AR142" s="57"/>
      <c r="AS142" s="57"/>
      <c r="AT142" s="57"/>
      <c r="AU142" s="57"/>
      <c r="AV142" s="57"/>
      <c r="AW142" s="57"/>
      <c r="AX142" s="57"/>
      <c r="AY142" s="57"/>
      <c r="AZ142" s="57"/>
      <c r="BA142" s="57"/>
      <c r="BB142" s="57"/>
    </row>
    <row r="143" spans="1:54" s="62" customFormat="1" ht="21.6" x14ac:dyDescent="0.25">
      <c r="A143" s="61"/>
      <c r="B143" s="61"/>
      <c r="C143" s="113">
        <v>46</v>
      </c>
      <c r="D143" s="7" t="s">
        <v>136</v>
      </c>
      <c r="E143" s="115"/>
      <c r="F143" s="26"/>
      <c r="G143" s="27"/>
      <c r="H143" s="25"/>
      <c r="I143" s="25"/>
      <c r="J143" s="25"/>
      <c r="K143" s="25"/>
      <c r="L143" s="25"/>
      <c r="M143" s="25"/>
      <c r="N143" s="25"/>
      <c r="O143" s="25"/>
      <c r="P143" s="25"/>
      <c r="Q143" s="25"/>
      <c r="R143" s="25"/>
      <c r="S143" s="57"/>
      <c r="T143" s="57"/>
      <c r="U143" s="57"/>
      <c r="V143" s="57"/>
      <c r="W143" s="57"/>
      <c r="X143" s="57"/>
      <c r="Y143" s="57"/>
      <c r="Z143" s="57"/>
      <c r="AA143" s="57"/>
      <c r="AB143" s="57"/>
      <c r="AC143" s="57"/>
      <c r="AD143" s="57"/>
      <c r="AE143" s="57"/>
      <c r="AF143" s="57"/>
      <c r="AG143" s="57"/>
      <c r="AH143" s="57"/>
      <c r="AI143" s="57"/>
      <c r="AJ143" s="57"/>
      <c r="AK143" s="57"/>
      <c r="AL143" s="57"/>
      <c r="AM143" s="57"/>
      <c r="AN143" s="57"/>
      <c r="AO143" s="57"/>
      <c r="AP143" s="57"/>
      <c r="AQ143" s="57"/>
      <c r="AR143" s="57"/>
      <c r="AS143" s="57"/>
      <c r="AT143" s="57"/>
      <c r="AU143" s="57"/>
      <c r="AV143" s="57"/>
      <c r="AW143" s="57"/>
      <c r="AX143" s="57"/>
      <c r="AY143" s="57"/>
      <c r="AZ143" s="57"/>
      <c r="BA143" s="57"/>
      <c r="BB143" s="57"/>
    </row>
    <row r="144" spans="1:54" s="62" customFormat="1" ht="21.6" x14ac:dyDescent="0.25">
      <c r="A144" s="61"/>
      <c r="B144" s="61"/>
      <c r="C144" s="113"/>
      <c r="D144" s="7" t="s">
        <v>137</v>
      </c>
      <c r="E144" s="115"/>
      <c r="F144" s="26"/>
      <c r="G144" s="27"/>
      <c r="H144" s="25"/>
      <c r="I144" s="25"/>
      <c r="J144" s="25"/>
      <c r="K144" s="25"/>
      <c r="L144" s="25"/>
      <c r="M144" s="25"/>
      <c r="N144" s="25"/>
      <c r="O144" s="25"/>
      <c r="P144" s="25"/>
      <c r="Q144" s="25"/>
      <c r="R144" s="25"/>
      <c r="S144" s="57"/>
      <c r="T144" s="57"/>
      <c r="U144" s="57"/>
      <c r="V144" s="57"/>
      <c r="W144" s="57"/>
      <c r="X144" s="57"/>
      <c r="Y144" s="57"/>
      <c r="Z144" s="57"/>
      <c r="AA144" s="57"/>
      <c r="AB144" s="57"/>
      <c r="AC144" s="57"/>
      <c r="AD144" s="57"/>
      <c r="AE144" s="57"/>
      <c r="AF144" s="57"/>
      <c r="AG144" s="57"/>
      <c r="AH144" s="57"/>
      <c r="AI144" s="57"/>
      <c r="AJ144" s="57"/>
      <c r="AK144" s="57"/>
      <c r="AL144" s="57"/>
      <c r="AM144" s="57"/>
      <c r="AN144" s="57"/>
      <c r="AO144" s="57"/>
      <c r="AP144" s="57"/>
      <c r="AQ144" s="57"/>
      <c r="AR144" s="57"/>
      <c r="AS144" s="57"/>
      <c r="AT144" s="57"/>
      <c r="AU144" s="57"/>
      <c r="AV144" s="57"/>
      <c r="AW144" s="57"/>
      <c r="AX144" s="57"/>
      <c r="AY144" s="57"/>
      <c r="AZ144" s="57"/>
      <c r="BA144" s="57"/>
      <c r="BB144" s="57"/>
    </row>
    <row r="145" spans="1:54" s="62" customFormat="1" ht="21.6" x14ac:dyDescent="0.25">
      <c r="A145" s="61"/>
      <c r="B145" s="61"/>
      <c r="C145" s="75"/>
      <c r="D145" s="24"/>
      <c r="E145" s="115"/>
      <c r="F145" s="27"/>
      <c r="G145" s="27"/>
      <c r="H145" s="25"/>
      <c r="I145" s="25"/>
      <c r="J145" s="25"/>
      <c r="K145" s="25"/>
      <c r="L145" s="25"/>
      <c r="M145" s="25"/>
      <c r="N145" s="25"/>
      <c r="O145" s="25"/>
      <c r="P145" s="25"/>
      <c r="Q145" s="25"/>
      <c r="R145" s="25"/>
      <c r="S145" s="57"/>
      <c r="T145" s="57"/>
      <c r="U145" s="57"/>
      <c r="V145" s="57"/>
      <c r="W145" s="57"/>
      <c r="X145" s="57"/>
      <c r="Y145" s="57"/>
      <c r="Z145" s="57"/>
      <c r="AA145" s="57"/>
      <c r="AB145" s="57"/>
      <c r="AC145" s="57"/>
      <c r="AD145" s="57"/>
      <c r="AE145" s="57"/>
      <c r="AF145" s="57"/>
      <c r="AG145" s="57"/>
      <c r="AH145" s="57"/>
      <c r="AI145" s="57"/>
      <c r="AJ145" s="57"/>
      <c r="AK145" s="57"/>
      <c r="AL145" s="57"/>
      <c r="AM145" s="57"/>
      <c r="AN145" s="57"/>
      <c r="AO145" s="57"/>
      <c r="AP145" s="57"/>
      <c r="AQ145" s="57"/>
      <c r="AR145" s="57"/>
      <c r="AS145" s="57"/>
      <c r="AT145" s="57"/>
      <c r="AU145" s="57"/>
      <c r="AV145" s="57"/>
      <c r="AW145" s="57"/>
      <c r="AX145" s="57"/>
      <c r="AY145" s="57"/>
      <c r="AZ145" s="57"/>
      <c r="BA145" s="57"/>
      <c r="BB145" s="57"/>
    </row>
    <row r="146" spans="1:54" s="62" customFormat="1" ht="21.6" x14ac:dyDescent="0.25">
      <c r="A146" s="61"/>
      <c r="B146" s="61"/>
      <c r="C146" s="113">
        <v>47</v>
      </c>
      <c r="D146" s="8" t="s">
        <v>138</v>
      </c>
      <c r="E146" s="115"/>
      <c r="F146" s="26"/>
      <c r="G146" s="27"/>
      <c r="H146" s="25"/>
      <c r="I146" s="25"/>
      <c r="J146" s="25"/>
      <c r="K146" s="25"/>
      <c r="L146" s="25"/>
      <c r="M146" s="25"/>
      <c r="N146" s="25"/>
      <c r="O146" s="25"/>
      <c r="P146" s="25"/>
      <c r="Q146" s="25"/>
      <c r="R146" s="25"/>
      <c r="S146" s="57"/>
      <c r="T146" s="57"/>
      <c r="U146" s="57"/>
      <c r="V146" s="57"/>
      <c r="W146" s="57"/>
      <c r="X146" s="57"/>
      <c r="Y146" s="57"/>
      <c r="Z146" s="57"/>
      <c r="AA146" s="57"/>
      <c r="AB146" s="57"/>
      <c r="AC146" s="57"/>
      <c r="AD146" s="57"/>
      <c r="AE146" s="57"/>
      <c r="AF146" s="57"/>
      <c r="AG146" s="57"/>
      <c r="AH146" s="57"/>
      <c r="AI146" s="57"/>
      <c r="AJ146" s="57"/>
      <c r="AK146" s="57"/>
      <c r="AL146" s="57"/>
      <c r="AM146" s="57"/>
      <c r="AN146" s="57"/>
      <c r="AO146" s="57"/>
      <c r="AP146" s="57"/>
      <c r="AQ146" s="57"/>
      <c r="AR146" s="57"/>
      <c r="AS146" s="57"/>
      <c r="AT146" s="57"/>
      <c r="AU146" s="57"/>
      <c r="AV146" s="57"/>
      <c r="AW146" s="57"/>
      <c r="AX146" s="57"/>
      <c r="AY146" s="57"/>
      <c r="AZ146" s="57"/>
      <c r="BA146" s="57"/>
      <c r="BB146" s="57"/>
    </row>
    <row r="147" spans="1:54" s="62" customFormat="1" ht="21.6" x14ac:dyDescent="0.25">
      <c r="A147" s="61"/>
      <c r="B147" s="61"/>
      <c r="C147" s="113"/>
      <c r="D147" s="8" t="s">
        <v>139</v>
      </c>
      <c r="E147" s="115"/>
      <c r="F147" s="53"/>
      <c r="G147" s="27"/>
      <c r="H147" s="25"/>
      <c r="I147" s="25"/>
      <c r="J147" s="25"/>
      <c r="K147" s="25"/>
      <c r="L147" s="25"/>
      <c r="M147" s="25"/>
      <c r="N147" s="25"/>
      <c r="O147" s="25"/>
      <c r="P147" s="25"/>
      <c r="Q147" s="25"/>
      <c r="R147" s="25"/>
      <c r="S147" s="57"/>
      <c r="T147" s="57"/>
      <c r="U147" s="57"/>
      <c r="V147" s="57"/>
      <c r="W147" s="57"/>
      <c r="X147" s="57"/>
      <c r="Y147" s="57"/>
      <c r="Z147" s="57"/>
      <c r="AA147" s="57"/>
      <c r="AB147" s="57"/>
      <c r="AC147" s="57"/>
      <c r="AD147" s="57"/>
      <c r="AE147" s="57"/>
      <c r="AF147" s="57"/>
      <c r="AG147" s="57"/>
      <c r="AH147" s="57"/>
      <c r="AI147" s="57"/>
      <c r="AJ147" s="57"/>
      <c r="AK147" s="57"/>
      <c r="AL147" s="57"/>
      <c r="AM147" s="57"/>
      <c r="AN147" s="57"/>
      <c r="AO147" s="57"/>
      <c r="AP147" s="57"/>
      <c r="AQ147" s="57"/>
      <c r="AR147" s="57"/>
      <c r="AS147" s="57"/>
      <c r="AT147" s="57"/>
      <c r="AU147" s="57"/>
      <c r="AV147" s="57"/>
      <c r="AW147" s="57"/>
      <c r="AX147" s="57"/>
      <c r="AY147" s="57"/>
      <c r="AZ147" s="57"/>
      <c r="BA147" s="57"/>
      <c r="BB147" s="57"/>
    </row>
    <row r="148" spans="1:54" s="62" customFormat="1" ht="21.6" x14ac:dyDescent="0.25">
      <c r="A148" s="61"/>
      <c r="B148" s="61"/>
      <c r="C148" s="75"/>
      <c r="D148" s="24"/>
      <c r="E148" s="115"/>
      <c r="F148" s="27"/>
      <c r="G148" s="27"/>
      <c r="H148" s="25"/>
      <c r="I148" s="25"/>
      <c r="J148" s="25"/>
      <c r="K148" s="25"/>
      <c r="L148" s="25"/>
      <c r="M148" s="25"/>
      <c r="N148" s="25"/>
      <c r="O148" s="25"/>
      <c r="P148" s="25"/>
      <c r="Q148" s="25"/>
      <c r="R148" s="25"/>
      <c r="S148" s="57"/>
      <c r="T148" s="57"/>
      <c r="U148" s="57"/>
      <c r="V148" s="57"/>
      <c r="W148" s="57"/>
      <c r="X148" s="57"/>
      <c r="Y148" s="57"/>
      <c r="Z148" s="57"/>
      <c r="AA148" s="57"/>
      <c r="AB148" s="57"/>
      <c r="AC148" s="57"/>
      <c r="AD148" s="57"/>
      <c r="AE148" s="57"/>
      <c r="AF148" s="57"/>
      <c r="AG148" s="57"/>
      <c r="AH148" s="57"/>
      <c r="AI148" s="57"/>
      <c r="AJ148" s="57"/>
      <c r="AK148" s="57"/>
      <c r="AL148" s="57"/>
      <c r="AM148" s="57"/>
      <c r="AN148" s="57"/>
      <c r="AO148" s="57"/>
      <c r="AP148" s="57"/>
      <c r="AQ148" s="57"/>
      <c r="AR148" s="57"/>
      <c r="AS148" s="57"/>
      <c r="AT148" s="57"/>
      <c r="AU148" s="57"/>
      <c r="AV148" s="57"/>
      <c r="AW148" s="57"/>
      <c r="AX148" s="57"/>
      <c r="AY148" s="57"/>
      <c r="AZ148" s="57"/>
      <c r="BA148" s="57"/>
      <c r="BB148" s="57"/>
    </row>
    <row r="149" spans="1:54" s="62" customFormat="1" ht="21.6" x14ac:dyDescent="0.25">
      <c r="A149" s="61"/>
      <c r="B149" s="61"/>
      <c r="C149" s="113">
        <v>48</v>
      </c>
      <c r="D149" s="7" t="s">
        <v>140</v>
      </c>
      <c r="E149" s="115"/>
      <c r="F149" s="26"/>
      <c r="G149" s="27"/>
      <c r="H149" s="25"/>
      <c r="I149" s="25"/>
      <c r="J149" s="25"/>
      <c r="K149" s="25"/>
      <c r="L149" s="25"/>
      <c r="M149" s="25"/>
      <c r="N149" s="25"/>
      <c r="O149" s="25"/>
      <c r="P149" s="25"/>
      <c r="Q149" s="25"/>
      <c r="R149" s="25"/>
      <c r="S149" s="57"/>
      <c r="T149" s="57"/>
      <c r="U149" s="57"/>
      <c r="V149" s="57"/>
      <c r="W149" s="57"/>
      <c r="X149" s="57"/>
      <c r="Y149" s="57"/>
      <c r="Z149" s="57"/>
      <c r="AA149" s="57"/>
      <c r="AB149" s="57"/>
      <c r="AC149" s="57"/>
      <c r="AD149" s="57"/>
      <c r="AE149" s="57"/>
      <c r="AF149" s="57"/>
      <c r="AG149" s="57"/>
      <c r="AH149" s="57"/>
      <c r="AI149" s="57"/>
      <c r="AJ149" s="57"/>
      <c r="AK149" s="57"/>
      <c r="AL149" s="57"/>
      <c r="AM149" s="57"/>
      <c r="AN149" s="57"/>
      <c r="AO149" s="57"/>
      <c r="AP149" s="57"/>
      <c r="AQ149" s="57"/>
      <c r="AR149" s="57"/>
      <c r="AS149" s="57"/>
      <c r="AT149" s="57"/>
      <c r="AU149" s="57"/>
      <c r="AV149" s="57"/>
      <c r="AW149" s="57"/>
      <c r="AX149" s="57"/>
      <c r="AY149" s="57"/>
      <c r="AZ149" s="57"/>
      <c r="BA149" s="57"/>
      <c r="BB149" s="57"/>
    </row>
    <row r="150" spans="1:54" s="62" customFormat="1" ht="21.6" x14ac:dyDescent="0.25">
      <c r="A150" s="61"/>
      <c r="B150" s="61"/>
      <c r="C150" s="113"/>
      <c r="D150" s="7" t="s">
        <v>141</v>
      </c>
      <c r="E150" s="115"/>
      <c r="F150" s="26"/>
      <c r="G150" s="27"/>
      <c r="H150" s="25"/>
      <c r="I150" s="25"/>
      <c r="J150" s="25"/>
      <c r="K150" s="25"/>
      <c r="L150" s="25"/>
      <c r="M150" s="25"/>
      <c r="N150" s="25"/>
      <c r="O150" s="25"/>
      <c r="P150" s="25"/>
      <c r="Q150" s="25"/>
      <c r="R150" s="25"/>
      <c r="S150" s="57"/>
      <c r="T150" s="57"/>
      <c r="U150" s="57"/>
      <c r="V150" s="57"/>
      <c r="W150" s="57"/>
      <c r="X150" s="57"/>
      <c r="Y150" s="57"/>
      <c r="Z150" s="57"/>
      <c r="AA150" s="57"/>
      <c r="AB150" s="57"/>
      <c r="AC150" s="57"/>
      <c r="AD150" s="57"/>
      <c r="AE150" s="57"/>
      <c r="AF150" s="57"/>
      <c r="AG150" s="57"/>
      <c r="AH150" s="57"/>
      <c r="AI150" s="57"/>
      <c r="AJ150" s="57"/>
      <c r="AK150" s="57"/>
      <c r="AL150" s="57"/>
      <c r="AM150" s="57"/>
      <c r="AN150" s="57"/>
      <c r="AO150" s="57"/>
      <c r="AP150" s="57"/>
      <c r="AQ150" s="57"/>
      <c r="AR150" s="57"/>
      <c r="AS150" s="57"/>
      <c r="AT150" s="57"/>
      <c r="AU150" s="57"/>
      <c r="AV150" s="57"/>
      <c r="AW150" s="57"/>
      <c r="AX150" s="57"/>
      <c r="AY150" s="57"/>
      <c r="AZ150" s="57"/>
      <c r="BA150" s="57"/>
      <c r="BB150" s="57"/>
    </row>
    <row r="151" spans="1:54" s="62" customFormat="1" ht="21.6" x14ac:dyDescent="0.25">
      <c r="A151" s="61"/>
      <c r="B151" s="61"/>
      <c r="C151" s="75"/>
      <c r="D151" s="24"/>
      <c r="E151" s="115"/>
      <c r="F151" s="27"/>
      <c r="G151" s="27"/>
      <c r="H151" s="25"/>
      <c r="I151" s="25"/>
      <c r="J151" s="25"/>
      <c r="K151" s="25"/>
      <c r="L151" s="25"/>
      <c r="M151" s="25"/>
      <c r="N151" s="25"/>
      <c r="O151" s="25"/>
      <c r="P151" s="25"/>
      <c r="Q151" s="25"/>
      <c r="R151" s="25"/>
      <c r="S151" s="57"/>
      <c r="T151" s="57"/>
      <c r="U151" s="57"/>
      <c r="V151" s="57"/>
      <c r="W151" s="57"/>
      <c r="X151" s="57"/>
      <c r="Y151" s="57"/>
      <c r="Z151" s="57"/>
      <c r="AA151" s="57"/>
      <c r="AB151" s="57"/>
      <c r="AC151" s="57"/>
      <c r="AD151" s="57"/>
      <c r="AE151" s="57"/>
      <c r="AF151" s="57"/>
      <c r="AG151" s="57"/>
      <c r="AH151" s="57"/>
      <c r="AI151" s="57"/>
      <c r="AJ151" s="57"/>
      <c r="AK151" s="57"/>
      <c r="AL151" s="57"/>
      <c r="AM151" s="57"/>
      <c r="AN151" s="57"/>
      <c r="AO151" s="57"/>
      <c r="AP151" s="57"/>
      <c r="AQ151" s="57"/>
      <c r="AR151" s="57"/>
      <c r="AS151" s="57"/>
      <c r="AT151" s="57"/>
      <c r="AU151" s="57"/>
      <c r="AV151" s="57"/>
      <c r="AW151" s="57"/>
      <c r="AX151" s="57"/>
      <c r="AY151" s="57"/>
      <c r="AZ151" s="57"/>
      <c r="BA151" s="57"/>
      <c r="BB151" s="57"/>
    </row>
    <row r="152" spans="1:54" s="62" customFormat="1" ht="21.6" x14ac:dyDescent="0.25">
      <c r="A152" s="61"/>
      <c r="B152" s="61"/>
      <c r="C152" s="113">
        <v>49</v>
      </c>
      <c r="D152" s="7" t="s">
        <v>142</v>
      </c>
      <c r="E152" s="115"/>
      <c r="F152" s="26"/>
      <c r="G152" s="27"/>
      <c r="H152" s="25"/>
      <c r="I152" s="25"/>
      <c r="J152" s="25"/>
      <c r="K152" s="25"/>
      <c r="L152" s="25"/>
      <c r="M152" s="25"/>
      <c r="N152" s="25"/>
      <c r="O152" s="25"/>
      <c r="P152" s="25"/>
      <c r="Q152" s="25"/>
      <c r="R152" s="25"/>
      <c r="S152" s="57"/>
      <c r="T152" s="57"/>
      <c r="U152" s="57"/>
      <c r="V152" s="57"/>
      <c r="W152" s="57"/>
      <c r="X152" s="57"/>
      <c r="Y152" s="57"/>
      <c r="Z152" s="57"/>
      <c r="AA152" s="57"/>
      <c r="AB152" s="57"/>
      <c r="AC152" s="57"/>
      <c r="AD152" s="57"/>
      <c r="AE152" s="57"/>
      <c r="AF152" s="57"/>
      <c r="AG152" s="57"/>
      <c r="AH152" s="57"/>
      <c r="AI152" s="57"/>
      <c r="AJ152" s="57"/>
      <c r="AK152" s="57"/>
      <c r="AL152" s="57"/>
      <c r="AM152" s="57"/>
      <c r="AN152" s="57"/>
      <c r="AO152" s="57"/>
      <c r="AP152" s="57"/>
      <c r="AQ152" s="57"/>
      <c r="AR152" s="57"/>
      <c r="AS152" s="57"/>
      <c r="AT152" s="57"/>
      <c r="AU152" s="57"/>
      <c r="AV152" s="57"/>
      <c r="AW152" s="57"/>
      <c r="AX152" s="57"/>
      <c r="AY152" s="57"/>
      <c r="AZ152" s="57"/>
      <c r="BA152" s="57"/>
      <c r="BB152" s="57"/>
    </row>
    <row r="153" spans="1:54" s="62" customFormat="1" ht="21.6" x14ac:dyDescent="0.25">
      <c r="A153" s="61"/>
      <c r="B153" s="61"/>
      <c r="C153" s="113"/>
      <c r="D153" s="7" t="s">
        <v>143</v>
      </c>
      <c r="E153" s="115"/>
      <c r="F153" s="26"/>
      <c r="G153" s="27"/>
      <c r="H153" s="25"/>
      <c r="I153" s="25"/>
      <c r="J153" s="25"/>
      <c r="K153" s="25"/>
      <c r="L153" s="25"/>
      <c r="M153" s="25"/>
      <c r="N153" s="25"/>
      <c r="O153" s="25"/>
      <c r="P153" s="25"/>
      <c r="Q153" s="25"/>
      <c r="R153" s="25"/>
      <c r="S153" s="57"/>
      <c r="T153" s="57"/>
      <c r="U153" s="57"/>
      <c r="V153" s="57"/>
      <c r="W153" s="57"/>
      <c r="X153" s="57"/>
      <c r="Y153" s="57"/>
      <c r="Z153" s="57"/>
      <c r="AA153" s="57"/>
      <c r="AB153" s="57"/>
      <c r="AC153" s="57"/>
      <c r="AD153" s="57"/>
      <c r="AE153" s="57"/>
      <c r="AF153" s="57"/>
      <c r="AG153" s="57"/>
      <c r="AH153" s="57"/>
      <c r="AI153" s="57"/>
      <c r="AJ153" s="57"/>
      <c r="AK153" s="57"/>
      <c r="AL153" s="57"/>
      <c r="AM153" s="57"/>
      <c r="AN153" s="57"/>
      <c r="AO153" s="57"/>
      <c r="AP153" s="57"/>
      <c r="AQ153" s="57"/>
      <c r="AR153" s="57"/>
      <c r="AS153" s="57"/>
      <c r="AT153" s="57"/>
      <c r="AU153" s="57"/>
      <c r="AV153" s="57"/>
      <c r="AW153" s="57"/>
      <c r="AX153" s="57"/>
      <c r="AY153" s="57"/>
      <c r="AZ153" s="57"/>
      <c r="BA153" s="57"/>
      <c r="BB153" s="57"/>
    </row>
    <row r="154" spans="1:54" s="62" customFormat="1" ht="21.6" x14ac:dyDescent="0.25">
      <c r="A154" s="61"/>
      <c r="B154" s="61"/>
      <c r="C154" s="75"/>
      <c r="D154" s="24"/>
      <c r="E154" s="115"/>
      <c r="F154" s="27"/>
      <c r="G154" s="27"/>
      <c r="H154" s="25"/>
      <c r="I154" s="25"/>
      <c r="J154" s="25"/>
      <c r="K154" s="25"/>
      <c r="L154" s="25"/>
      <c r="M154" s="25"/>
      <c r="N154" s="25"/>
      <c r="O154" s="25"/>
      <c r="P154" s="25"/>
      <c r="Q154" s="25"/>
      <c r="R154" s="25"/>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row>
    <row r="155" spans="1:54" s="62" customFormat="1" ht="21.6" x14ac:dyDescent="0.25">
      <c r="A155" s="61"/>
      <c r="B155" s="61"/>
      <c r="C155" s="113">
        <v>50</v>
      </c>
      <c r="D155" s="7" t="s">
        <v>144</v>
      </c>
      <c r="E155" s="115"/>
      <c r="F155" s="26"/>
      <c r="G155" s="27"/>
      <c r="H155" s="25"/>
      <c r="I155" s="25"/>
      <c r="J155" s="25"/>
      <c r="K155" s="25"/>
      <c r="L155" s="25"/>
      <c r="M155" s="25"/>
      <c r="N155" s="25"/>
      <c r="O155" s="25"/>
      <c r="P155" s="25"/>
      <c r="Q155" s="25"/>
      <c r="R155" s="25"/>
      <c r="S155" s="57"/>
      <c r="T155" s="57"/>
      <c r="U155" s="57"/>
      <c r="V155" s="57"/>
      <c r="W155" s="57"/>
      <c r="X155" s="57"/>
      <c r="Y155" s="57"/>
      <c r="Z155" s="57"/>
      <c r="AA155" s="57"/>
      <c r="AB155" s="57"/>
      <c r="AC155" s="57"/>
      <c r="AD155" s="57"/>
      <c r="AE155" s="57"/>
      <c r="AF155" s="57"/>
      <c r="AG155" s="57"/>
      <c r="AH155" s="57"/>
      <c r="AI155" s="57"/>
      <c r="AJ155" s="57"/>
      <c r="AK155" s="57"/>
      <c r="AL155" s="57"/>
      <c r="AM155" s="57"/>
      <c r="AN155" s="57"/>
      <c r="AO155" s="57"/>
      <c r="AP155" s="57"/>
      <c r="AQ155" s="57"/>
      <c r="AR155" s="57"/>
      <c r="AS155" s="57"/>
      <c r="AT155" s="57"/>
      <c r="AU155" s="57"/>
      <c r="AV155" s="57"/>
      <c r="AW155" s="57"/>
      <c r="AX155" s="57"/>
      <c r="AY155" s="57"/>
      <c r="AZ155" s="57"/>
      <c r="BA155" s="57"/>
      <c r="BB155" s="57"/>
    </row>
    <row r="156" spans="1:54" s="62" customFormat="1" ht="21.6" x14ac:dyDescent="0.25">
      <c r="A156" s="61"/>
      <c r="B156" s="61"/>
      <c r="C156" s="113"/>
      <c r="D156" s="7" t="s">
        <v>145</v>
      </c>
      <c r="E156" s="115"/>
      <c r="F156" s="26"/>
      <c r="G156" s="27"/>
      <c r="H156" s="25"/>
      <c r="I156" s="25"/>
      <c r="J156" s="25"/>
      <c r="K156" s="25"/>
      <c r="L156" s="25"/>
      <c r="M156" s="25"/>
      <c r="N156" s="25"/>
      <c r="O156" s="25"/>
      <c r="P156" s="25"/>
      <c r="Q156" s="25"/>
      <c r="R156" s="25"/>
      <c r="S156" s="57"/>
      <c r="T156" s="57"/>
      <c r="U156" s="57"/>
      <c r="V156" s="57"/>
      <c r="W156" s="57"/>
      <c r="X156" s="57"/>
      <c r="Y156" s="57"/>
      <c r="Z156" s="57"/>
      <c r="AA156" s="57"/>
      <c r="AB156" s="57"/>
      <c r="AC156" s="57"/>
      <c r="AD156" s="57"/>
      <c r="AE156" s="57"/>
      <c r="AF156" s="57"/>
      <c r="AG156" s="57"/>
      <c r="AH156" s="57"/>
      <c r="AI156" s="57"/>
      <c r="AJ156" s="57"/>
      <c r="AK156" s="57"/>
      <c r="AL156" s="57"/>
      <c r="AM156" s="57"/>
      <c r="AN156" s="57"/>
      <c r="AO156" s="57"/>
      <c r="AP156" s="57"/>
      <c r="AQ156" s="57"/>
      <c r="AR156" s="57"/>
      <c r="AS156" s="57"/>
      <c r="AT156" s="57"/>
      <c r="AU156" s="57"/>
      <c r="AV156" s="57"/>
      <c r="AW156" s="57"/>
      <c r="AX156" s="57"/>
      <c r="AY156" s="57"/>
      <c r="AZ156" s="57"/>
      <c r="BA156" s="57"/>
      <c r="BB156" s="57"/>
    </row>
    <row r="157" spans="1:54" s="62" customFormat="1" ht="21.6" x14ac:dyDescent="0.25">
      <c r="A157" s="61"/>
      <c r="B157" s="61"/>
      <c r="C157" s="75"/>
      <c r="D157" s="24"/>
      <c r="E157" s="115"/>
      <c r="F157" s="27"/>
      <c r="G157" s="27"/>
      <c r="H157" s="25"/>
      <c r="I157" s="25"/>
      <c r="J157" s="25"/>
      <c r="K157" s="25"/>
      <c r="L157" s="25"/>
      <c r="M157" s="25"/>
      <c r="N157" s="25"/>
      <c r="O157" s="25"/>
      <c r="P157" s="25"/>
      <c r="Q157" s="25"/>
      <c r="R157" s="25"/>
      <c r="S157" s="57"/>
      <c r="T157" s="57"/>
      <c r="U157" s="57"/>
      <c r="V157" s="57"/>
      <c r="W157" s="57"/>
      <c r="X157" s="57"/>
      <c r="Y157" s="57"/>
      <c r="Z157" s="57"/>
      <c r="AA157" s="57"/>
      <c r="AB157" s="57"/>
      <c r="AC157" s="57"/>
      <c r="AD157" s="57"/>
      <c r="AE157" s="57"/>
      <c r="AF157" s="57"/>
      <c r="AG157" s="57"/>
      <c r="AH157" s="57"/>
      <c r="AI157" s="57"/>
      <c r="AJ157" s="57"/>
      <c r="AK157" s="57"/>
      <c r="AL157" s="57"/>
      <c r="AM157" s="57"/>
      <c r="AN157" s="57"/>
      <c r="AO157" s="57"/>
      <c r="AP157" s="57"/>
      <c r="AQ157" s="57"/>
      <c r="AR157" s="57"/>
      <c r="AS157" s="57"/>
      <c r="AT157" s="57"/>
      <c r="AU157" s="57"/>
      <c r="AV157" s="57"/>
      <c r="AW157" s="57"/>
      <c r="AX157" s="57"/>
      <c r="AY157" s="57"/>
      <c r="AZ157" s="57"/>
      <c r="BA157" s="57"/>
      <c r="BB157" s="57"/>
    </row>
    <row r="158" spans="1:54" s="62" customFormat="1" ht="25.5" customHeight="1" x14ac:dyDescent="0.25">
      <c r="A158" s="61"/>
      <c r="B158" s="61"/>
      <c r="C158" s="113">
        <v>51</v>
      </c>
      <c r="D158" s="7" t="s">
        <v>168</v>
      </c>
      <c r="E158" s="115"/>
      <c r="F158" s="26"/>
      <c r="G158" s="27"/>
      <c r="H158" s="25"/>
      <c r="I158" s="25"/>
      <c r="J158" s="25"/>
      <c r="K158" s="25"/>
      <c r="L158" s="25"/>
      <c r="M158" s="25"/>
      <c r="N158" s="25"/>
      <c r="O158" s="25"/>
      <c r="P158" s="25"/>
      <c r="Q158" s="25"/>
      <c r="R158" s="25"/>
      <c r="S158" s="57"/>
      <c r="T158" s="57"/>
      <c r="U158" s="57"/>
      <c r="V158" s="57"/>
      <c r="W158" s="57"/>
      <c r="X158" s="57"/>
      <c r="Y158" s="57"/>
      <c r="Z158" s="57"/>
      <c r="AA158" s="57"/>
      <c r="AB158" s="57"/>
      <c r="AC158" s="57"/>
      <c r="AD158" s="57"/>
      <c r="AE158" s="57"/>
      <c r="AF158" s="57"/>
      <c r="AG158" s="57"/>
      <c r="AH158" s="57"/>
      <c r="AI158" s="57"/>
      <c r="AJ158" s="57"/>
      <c r="AK158" s="57"/>
      <c r="AL158" s="57"/>
      <c r="AM158" s="57"/>
      <c r="AN158" s="57"/>
      <c r="AO158" s="57"/>
      <c r="AP158" s="57"/>
      <c r="AQ158" s="57"/>
      <c r="AR158" s="57"/>
      <c r="AS158" s="57"/>
      <c r="AT158" s="57"/>
      <c r="AU158" s="57"/>
      <c r="AV158" s="57"/>
      <c r="AW158" s="57"/>
      <c r="AX158" s="57"/>
      <c r="AY158" s="57"/>
      <c r="AZ158" s="57"/>
      <c r="BA158" s="57"/>
      <c r="BB158" s="57"/>
    </row>
    <row r="159" spans="1:54" s="62" customFormat="1" ht="21.75" customHeight="1" x14ac:dyDescent="0.25">
      <c r="A159" s="61"/>
      <c r="B159" s="61"/>
      <c r="C159" s="113"/>
      <c r="D159" s="7" t="s">
        <v>169</v>
      </c>
      <c r="E159" s="115"/>
      <c r="F159" s="53"/>
      <c r="G159" s="27"/>
      <c r="H159" s="25"/>
      <c r="I159" s="25"/>
      <c r="J159" s="25"/>
      <c r="K159" s="25"/>
      <c r="L159" s="25"/>
      <c r="M159" s="25"/>
      <c r="N159" s="25"/>
      <c r="O159" s="25"/>
      <c r="P159" s="25"/>
      <c r="Q159" s="25"/>
      <c r="R159" s="25"/>
      <c r="S159" s="57"/>
      <c r="T159" s="57"/>
      <c r="U159" s="57"/>
      <c r="V159" s="57"/>
      <c r="W159" s="57"/>
      <c r="X159" s="57"/>
      <c r="Y159" s="57"/>
      <c r="Z159" s="57"/>
      <c r="AA159" s="57"/>
      <c r="AB159" s="57"/>
      <c r="AC159" s="57"/>
      <c r="AD159" s="57"/>
      <c r="AE159" s="57"/>
      <c r="AF159" s="57"/>
      <c r="AG159" s="57"/>
      <c r="AH159" s="57"/>
      <c r="AI159" s="57"/>
      <c r="AJ159" s="57"/>
      <c r="AK159" s="57"/>
      <c r="AL159" s="57"/>
      <c r="AM159" s="57"/>
      <c r="AN159" s="57"/>
      <c r="AO159" s="57"/>
      <c r="AP159" s="57"/>
      <c r="AQ159" s="57"/>
      <c r="AR159" s="57"/>
      <c r="AS159" s="57"/>
      <c r="AT159" s="57"/>
      <c r="AU159" s="57"/>
      <c r="AV159" s="57"/>
      <c r="AW159" s="57"/>
      <c r="AX159" s="57"/>
      <c r="AY159" s="57"/>
      <c r="AZ159" s="57"/>
      <c r="BA159" s="57"/>
      <c r="BB159" s="57"/>
    </row>
    <row r="160" spans="1:54" s="62" customFormat="1" ht="21.75" customHeight="1" x14ac:dyDescent="0.25">
      <c r="A160" s="61"/>
      <c r="B160" s="61"/>
      <c r="C160" s="75"/>
      <c r="D160" s="24"/>
      <c r="E160" s="115"/>
      <c r="F160" s="27"/>
      <c r="G160" s="27"/>
      <c r="H160" s="25"/>
      <c r="I160" s="25"/>
      <c r="J160" s="25"/>
      <c r="K160" s="25"/>
      <c r="L160" s="25"/>
      <c r="M160" s="25"/>
      <c r="N160" s="25"/>
      <c r="O160" s="25"/>
      <c r="P160" s="25"/>
      <c r="Q160" s="25"/>
      <c r="R160" s="25"/>
      <c r="S160" s="57"/>
      <c r="T160" s="57"/>
      <c r="U160" s="57"/>
      <c r="V160" s="57"/>
      <c r="W160" s="57"/>
      <c r="X160" s="57"/>
      <c r="Y160" s="57"/>
      <c r="Z160" s="57"/>
      <c r="AA160" s="57"/>
      <c r="AB160" s="57"/>
      <c r="AC160" s="57"/>
      <c r="AD160" s="57"/>
      <c r="AE160" s="57"/>
      <c r="AF160" s="57"/>
      <c r="AG160" s="57"/>
      <c r="AH160" s="57"/>
      <c r="AI160" s="57"/>
      <c r="AJ160" s="57"/>
      <c r="AK160" s="57"/>
      <c r="AL160" s="57"/>
      <c r="AM160" s="57"/>
      <c r="AN160" s="57"/>
      <c r="AO160" s="57"/>
      <c r="AP160" s="57"/>
      <c r="AQ160" s="57"/>
      <c r="AR160" s="57"/>
      <c r="AS160" s="57"/>
      <c r="AT160" s="57"/>
      <c r="AU160" s="57"/>
      <c r="AV160" s="57"/>
      <c r="AW160" s="57"/>
      <c r="AX160" s="57"/>
      <c r="AY160" s="57"/>
      <c r="AZ160" s="57"/>
      <c r="BA160" s="57"/>
      <c r="BB160" s="57"/>
    </row>
    <row r="161" spans="1:54" s="62" customFormat="1" ht="21.6" x14ac:dyDescent="0.25">
      <c r="A161" s="61"/>
      <c r="B161" s="61"/>
      <c r="C161" s="113">
        <v>52</v>
      </c>
      <c r="D161" s="7" t="s">
        <v>146</v>
      </c>
      <c r="E161" s="115"/>
      <c r="F161" s="26"/>
      <c r="G161" s="27"/>
      <c r="H161" s="25"/>
      <c r="I161" s="25"/>
      <c r="J161" s="25"/>
      <c r="K161" s="25"/>
      <c r="L161" s="25"/>
      <c r="M161" s="25"/>
      <c r="N161" s="25"/>
      <c r="O161" s="25"/>
      <c r="P161" s="25"/>
      <c r="Q161" s="25"/>
      <c r="R161" s="25"/>
      <c r="S161" s="57"/>
      <c r="T161" s="57"/>
      <c r="U161" s="57"/>
      <c r="V161" s="57"/>
      <c r="W161" s="57"/>
      <c r="X161" s="57"/>
      <c r="Y161" s="57"/>
      <c r="Z161" s="57"/>
      <c r="AA161" s="57"/>
      <c r="AB161" s="57"/>
      <c r="AC161" s="57"/>
      <c r="AD161" s="57"/>
      <c r="AE161" s="57"/>
      <c r="AF161" s="57"/>
      <c r="AG161" s="57"/>
      <c r="AH161" s="57"/>
      <c r="AI161" s="57"/>
      <c r="AJ161" s="57"/>
      <c r="AK161" s="57"/>
      <c r="AL161" s="57"/>
      <c r="AM161" s="57"/>
      <c r="AN161" s="57"/>
      <c r="AO161" s="57"/>
      <c r="AP161" s="57"/>
      <c r="AQ161" s="57"/>
      <c r="AR161" s="57"/>
      <c r="AS161" s="57"/>
      <c r="AT161" s="57"/>
      <c r="AU161" s="57"/>
      <c r="AV161" s="57"/>
      <c r="AW161" s="57"/>
      <c r="AX161" s="57"/>
      <c r="AY161" s="57"/>
      <c r="AZ161" s="57"/>
      <c r="BA161" s="57"/>
      <c r="BB161" s="57"/>
    </row>
    <row r="162" spans="1:54" s="62" customFormat="1" ht="22.5" customHeight="1" x14ac:dyDescent="0.25">
      <c r="A162" s="61"/>
      <c r="B162" s="61"/>
      <c r="C162" s="113"/>
      <c r="D162" s="7" t="s">
        <v>147</v>
      </c>
      <c r="E162" s="115"/>
      <c r="F162" s="26"/>
      <c r="G162" s="27"/>
      <c r="H162" s="25"/>
      <c r="I162" s="25"/>
      <c r="J162" s="25"/>
      <c r="K162" s="25"/>
      <c r="L162" s="25"/>
      <c r="M162" s="25"/>
      <c r="N162" s="25"/>
      <c r="O162" s="25"/>
      <c r="P162" s="25"/>
      <c r="Q162" s="25"/>
      <c r="R162" s="25"/>
      <c r="S162" s="57"/>
      <c r="T162" s="57"/>
      <c r="U162" s="57"/>
      <c r="V162" s="57"/>
      <c r="W162" s="57"/>
      <c r="X162" s="57"/>
      <c r="Y162" s="57"/>
      <c r="Z162" s="57"/>
      <c r="AA162" s="57"/>
      <c r="AB162" s="57"/>
      <c r="AC162" s="57"/>
      <c r="AD162" s="57"/>
      <c r="AE162" s="57"/>
      <c r="AF162" s="57"/>
      <c r="AG162" s="57"/>
      <c r="AH162" s="57"/>
      <c r="AI162" s="57"/>
      <c r="AJ162" s="57"/>
      <c r="AK162" s="57"/>
      <c r="AL162" s="57"/>
      <c r="AM162" s="57"/>
      <c r="AN162" s="57"/>
      <c r="AO162" s="57"/>
      <c r="AP162" s="57"/>
      <c r="AQ162" s="57"/>
      <c r="AR162" s="57"/>
      <c r="AS162" s="57"/>
      <c r="AT162" s="57"/>
      <c r="AU162" s="57"/>
      <c r="AV162" s="57"/>
      <c r="AW162" s="57"/>
      <c r="AX162" s="57"/>
      <c r="AY162" s="57"/>
      <c r="AZ162" s="57"/>
      <c r="BA162" s="57"/>
      <c r="BB162" s="57"/>
    </row>
    <row r="163" spans="1:54" s="62" customFormat="1" ht="22.5" customHeight="1" x14ac:dyDescent="0.25">
      <c r="A163" s="61"/>
      <c r="B163" s="61"/>
      <c r="C163" s="75"/>
      <c r="D163" s="24"/>
      <c r="E163" s="115"/>
      <c r="F163" s="27"/>
      <c r="G163" s="27"/>
      <c r="H163" s="25"/>
      <c r="I163" s="25"/>
      <c r="J163" s="25"/>
      <c r="K163" s="25"/>
      <c r="L163" s="25"/>
      <c r="M163" s="25"/>
      <c r="N163" s="25"/>
      <c r="O163" s="25"/>
      <c r="P163" s="25"/>
      <c r="Q163" s="25"/>
      <c r="R163" s="25"/>
      <c r="S163" s="57"/>
      <c r="T163" s="57"/>
      <c r="U163" s="57"/>
      <c r="V163" s="57"/>
      <c r="W163" s="57"/>
      <c r="X163" s="57"/>
      <c r="Y163" s="57"/>
      <c r="Z163" s="57"/>
      <c r="AA163" s="57"/>
      <c r="AB163" s="57"/>
      <c r="AC163" s="57"/>
      <c r="AD163" s="57"/>
      <c r="AE163" s="57"/>
      <c r="AF163" s="57"/>
      <c r="AG163" s="57"/>
      <c r="AH163" s="57"/>
      <c r="AI163" s="57"/>
      <c r="AJ163" s="57"/>
      <c r="AK163" s="57"/>
      <c r="AL163" s="57"/>
      <c r="AM163" s="57"/>
      <c r="AN163" s="57"/>
      <c r="AO163" s="57"/>
      <c r="AP163" s="57"/>
      <c r="AQ163" s="57"/>
      <c r="AR163" s="57"/>
      <c r="AS163" s="57"/>
      <c r="AT163" s="57"/>
      <c r="AU163" s="57"/>
      <c r="AV163" s="57"/>
      <c r="AW163" s="57"/>
      <c r="AX163" s="57"/>
      <c r="AY163" s="57"/>
      <c r="AZ163" s="57"/>
      <c r="BA163" s="57"/>
      <c r="BB163" s="57"/>
    </row>
    <row r="164" spans="1:54" s="62" customFormat="1" ht="21.6" x14ac:dyDescent="0.25">
      <c r="A164" s="61"/>
      <c r="B164" s="61"/>
      <c r="C164" s="113">
        <v>53</v>
      </c>
      <c r="D164" s="7" t="s">
        <v>148</v>
      </c>
      <c r="E164" s="115"/>
      <c r="F164" s="26"/>
      <c r="G164" s="27"/>
      <c r="H164" s="25"/>
      <c r="I164" s="25"/>
      <c r="J164" s="25"/>
      <c r="K164" s="25"/>
      <c r="L164" s="25"/>
      <c r="M164" s="25"/>
      <c r="N164" s="25"/>
      <c r="O164" s="25"/>
      <c r="P164" s="25"/>
      <c r="Q164" s="25"/>
      <c r="R164" s="25"/>
      <c r="S164" s="57"/>
      <c r="T164" s="57"/>
      <c r="U164" s="57"/>
      <c r="V164" s="57"/>
      <c r="W164" s="57"/>
      <c r="X164" s="57"/>
      <c r="Y164" s="57"/>
      <c r="Z164" s="57"/>
      <c r="AA164" s="57"/>
      <c r="AB164" s="57"/>
      <c r="AC164" s="57"/>
      <c r="AD164" s="57"/>
      <c r="AE164" s="57"/>
      <c r="AF164" s="57"/>
      <c r="AG164" s="57"/>
      <c r="AH164" s="57"/>
      <c r="AI164" s="57"/>
      <c r="AJ164" s="57"/>
      <c r="AK164" s="57"/>
      <c r="AL164" s="57"/>
      <c r="AM164" s="57"/>
      <c r="AN164" s="57"/>
      <c r="AO164" s="57"/>
      <c r="AP164" s="57"/>
      <c r="AQ164" s="57"/>
      <c r="AR164" s="57"/>
      <c r="AS164" s="57"/>
      <c r="AT164" s="57"/>
      <c r="AU164" s="57"/>
      <c r="AV164" s="57"/>
      <c r="AW164" s="57"/>
      <c r="AX164" s="57"/>
      <c r="AY164" s="57"/>
      <c r="AZ164" s="57"/>
      <c r="BA164" s="57"/>
      <c r="BB164" s="57"/>
    </row>
    <row r="165" spans="1:54" s="62" customFormat="1" ht="21.6" x14ac:dyDescent="0.25">
      <c r="A165" s="61"/>
      <c r="B165" s="61"/>
      <c r="C165" s="113"/>
      <c r="D165" s="7" t="s">
        <v>149</v>
      </c>
      <c r="E165" s="115"/>
      <c r="F165" s="26"/>
      <c r="G165" s="27"/>
      <c r="H165" s="25"/>
      <c r="I165" s="25"/>
      <c r="J165" s="25"/>
      <c r="K165" s="25"/>
      <c r="L165" s="25"/>
      <c r="M165" s="25"/>
      <c r="N165" s="25"/>
      <c r="O165" s="25"/>
      <c r="P165" s="25"/>
      <c r="Q165" s="25"/>
      <c r="R165" s="25"/>
      <c r="S165" s="57"/>
      <c r="T165" s="57"/>
      <c r="U165" s="57"/>
      <c r="V165" s="57"/>
      <c r="W165" s="57"/>
      <c r="X165" s="57"/>
      <c r="Y165" s="57"/>
      <c r="Z165" s="57"/>
      <c r="AA165" s="57"/>
      <c r="AB165" s="57"/>
      <c r="AC165" s="57"/>
      <c r="AD165" s="57"/>
      <c r="AE165" s="57"/>
      <c r="AF165" s="57"/>
      <c r="AG165" s="57"/>
      <c r="AH165" s="57"/>
      <c r="AI165" s="57"/>
      <c r="AJ165" s="57"/>
      <c r="AK165" s="57"/>
      <c r="AL165" s="57"/>
      <c r="AM165" s="57"/>
      <c r="AN165" s="57"/>
      <c r="AO165" s="57"/>
      <c r="AP165" s="57"/>
      <c r="AQ165" s="57"/>
      <c r="AR165" s="57"/>
      <c r="AS165" s="57"/>
      <c r="AT165" s="57"/>
      <c r="AU165" s="57"/>
      <c r="AV165" s="57"/>
      <c r="AW165" s="57"/>
      <c r="AX165" s="57"/>
      <c r="AY165" s="57"/>
      <c r="AZ165" s="57"/>
      <c r="BA165" s="57"/>
      <c r="BB165" s="57"/>
    </row>
    <row r="166" spans="1:54" s="62" customFormat="1" ht="21.6" x14ac:dyDescent="0.25">
      <c r="A166" s="61"/>
      <c r="B166" s="61"/>
      <c r="C166" s="75"/>
      <c r="D166" s="24"/>
      <c r="E166" s="115"/>
      <c r="F166" s="27"/>
      <c r="G166" s="27"/>
      <c r="H166" s="25"/>
      <c r="I166" s="25"/>
      <c r="J166" s="25"/>
      <c r="K166" s="25"/>
      <c r="L166" s="25"/>
      <c r="M166" s="25"/>
      <c r="N166" s="25"/>
      <c r="O166" s="25"/>
      <c r="P166" s="25"/>
      <c r="Q166" s="25"/>
      <c r="R166" s="25"/>
      <c r="S166" s="57"/>
      <c r="T166" s="57"/>
      <c r="U166" s="57"/>
      <c r="V166" s="57"/>
      <c r="W166" s="57"/>
      <c r="X166" s="57"/>
      <c r="Y166" s="57"/>
      <c r="Z166" s="57"/>
      <c r="AA166" s="57"/>
      <c r="AB166" s="57"/>
      <c r="AC166" s="57"/>
      <c r="AD166" s="57"/>
      <c r="AE166" s="57"/>
      <c r="AF166" s="57"/>
      <c r="AG166" s="57"/>
      <c r="AH166" s="57"/>
      <c r="AI166" s="57"/>
      <c r="AJ166" s="57"/>
      <c r="AK166" s="57"/>
      <c r="AL166" s="57"/>
      <c r="AM166" s="57"/>
      <c r="AN166" s="57"/>
      <c r="AO166" s="57"/>
      <c r="AP166" s="57"/>
      <c r="AQ166" s="57"/>
      <c r="AR166" s="57"/>
      <c r="AS166" s="57"/>
      <c r="AT166" s="57"/>
      <c r="AU166" s="57"/>
      <c r="AV166" s="57"/>
      <c r="AW166" s="57"/>
      <c r="AX166" s="57"/>
      <c r="AY166" s="57"/>
      <c r="AZ166" s="57"/>
      <c r="BA166" s="57"/>
      <c r="BB166" s="57"/>
    </row>
    <row r="167" spans="1:54" s="62" customFormat="1" ht="21.6" x14ac:dyDescent="0.25">
      <c r="A167" s="61"/>
      <c r="B167" s="61"/>
      <c r="C167" s="113">
        <v>54</v>
      </c>
      <c r="D167" s="7" t="s">
        <v>150</v>
      </c>
      <c r="E167" s="115"/>
      <c r="F167" s="26"/>
      <c r="G167" s="27"/>
      <c r="H167" s="25"/>
      <c r="I167" s="25"/>
      <c r="J167" s="25"/>
      <c r="K167" s="25"/>
      <c r="L167" s="25"/>
      <c r="M167" s="25"/>
      <c r="N167" s="25"/>
      <c r="O167" s="25"/>
      <c r="P167" s="25"/>
      <c r="Q167" s="25"/>
      <c r="R167" s="25"/>
      <c r="S167" s="57"/>
      <c r="T167" s="57"/>
      <c r="U167" s="57"/>
      <c r="V167" s="57"/>
      <c r="W167" s="57"/>
      <c r="X167" s="57"/>
      <c r="Y167" s="57"/>
      <c r="Z167" s="57"/>
      <c r="AA167" s="57"/>
      <c r="AB167" s="57"/>
      <c r="AC167" s="57"/>
      <c r="AD167" s="57"/>
      <c r="AE167" s="57"/>
      <c r="AF167" s="57"/>
      <c r="AG167" s="57"/>
      <c r="AH167" s="57"/>
      <c r="AI167" s="57"/>
      <c r="AJ167" s="57"/>
      <c r="AK167" s="57"/>
      <c r="AL167" s="57"/>
      <c r="AM167" s="57"/>
      <c r="AN167" s="57"/>
      <c r="AO167" s="57"/>
      <c r="AP167" s="57"/>
      <c r="AQ167" s="57"/>
      <c r="AR167" s="57"/>
      <c r="AS167" s="57"/>
      <c r="AT167" s="57"/>
      <c r="AU167" s="57"/>
      <c r="AV167" s="57"/>
      <c r="AW167" s="57"/>
      <c r="AX167" s="57"/>
      <c r="AY167" s="57"/>
      <c r="AZ167" s="57"/>
      <c r="BA167" s="57"/>
      <c r="BB167" s="57"/>
    </row>
    <row r="168" spans="1:54" s="62" customFormat="1" ht="21.6" x14ac:dyDescent="0.25">
      <c r="A168" s="61"/>
      <c r="B168" s="61"/>
      <c r="C168" s="113"/>
      <c r="D168" s="7" t="s">
        <v>151</v>
      </c>
      <c r="E168" s="115"/>
      <c r="F168" s="26"/>
      <c r="G168" s="27"/>
      <c r="H168" s="25"/>
      <c r="I168" s="25"/>
      <c r="J168" s="25"/>
      <c r="K168" s="25"/>
      <c r="L168" s="25"/>
      <c r="M168" s="25"/>
      <c r="N168" s="25"/>
      <c r="O168" s="25"/>
      <c r="P168" s="25"/>
      <c r="Q168" s="25"/>
      <c r="R168" s="25"/>
      <c r="S168" s="57"/>
      <c r="T168" s="57"/>
      <c r="U168" s="57"/>
      <c r="V168" s="57"/>
      <c r="W168" s="57"/>
      <c r="X168" s="57"/>
      <c r="Y168" s="57"/>
      <c r="Z168" s="57"/>
      <c r="AA168" s="57"/>
      <c r="AB168" s="57"/>
      <c r="AC168" s="57"/>
      <c r="AD168" s="57"/>
      <c r="AE168" s="57"/>
      <c r="AF168" s="57"/>
      <c r="AG168" s="57"/>
      <c r="AH168" s="57"/>
      <c r="AI168" s="57"/>
      <c r="AJ168" s="57"/>
      <c r="AK168" s="57"/>
      <c r="AL168" s="57"/>
      <c r="AM168" s="57"/>
      <c r="AN168" s="57"/>
      <c r="AO168" s="57"/>
      <c r="AP168" s="57"/>
      <c r="AQ168" s="57"/>
      <c r="AR168" s="57"/>
      <c r="AS168" s="57"/>
      <c r="AT168" s="57"/>
      <c r="AU168" s="57"/>
      <c r="AV168" s="57"/>
      <c r="AW168" s="57"/>
      <c r="AX168" s="57"/>
      <c r="AY168" s="57"/>
      <c r="AZ168" s="57"/>
      <c r="BA168" s="57"/>
      <c r="BB168" s="57"/>
    </row>
    <row r="169" spans="1:54" s="62" customFormat="1" ht="21.6" x14ac:dyDescent="0.25">
      <c r="A169" s="61"/>
      <c r="B169" s="61"/>
      <c r="C169" s="75"/>
      <c r="D169" s="24"/>
      <c r="E169" s="115"/>
      <c r="F169" s="27"/>
      <c r="G169" s="27"/>
      <c r="H169" s="25"/>
      <c r="I169" s="25"/>
      <c r="J169" s="25"/>
      <c r="K169" s="25"/>
      <c r="L169" s="25"/>
      <c r="M169" s="25"/>
      <c r="N169" s="25"/>
      <c r="O169" s="25"/>
      <c r="P169" s="25"/>
      <c r="Q169" s="25"/>
      <c r="R169" s="25"/>
      <c r="S169" s="57"/>
      <c r="T169" s="57"/>
      <c r="U169" s="57"/>
      <c r="V169" s="57"/>
      <c r="W169" s="57"/>
      <c r="X169" s="57"/>
      <c r="Y169" s="57"/>
      <c r="Z169" s="57"/>
      <c r="AA169" s="57"/>
      <c r="AB169" s="57"/>
      <c r="AC169" s="57"/>
      <c r="AD169" s="57"/>
      <c r="AE169" s="57"/>
      <c r="AF169" s="57"/>
      <c r="AG169" s="57"/>
      <c r="AH169" s="57"/>
      <c r="AI169" s="57"/>
      <c r="AJ169" s="57"/>
      <c r="AK169" s="57"/>
      <c r="AL169" s="57"/>
      <c r="AM169" s="57"/>
      <c r="AN169" s="57"/>
      <c r="AO169" s="57"/>
      <c r="AP169" s="57"/>
      <c r="AQ169" s="57"/>
      <c r="AR169" s="57"/>
      <c r="AS169" s="57"/>
      <c r="AT169" s="57"/>
      <c r="AU169" s="57"/>
      <c r="AV169" s="57"/>
      <c r="AW169" s="57"/>
      <c r="AX169" s="57"/>
      <c r="AY169" s="57"/>
      <c r="AZ169" s="57"/>
      <c r="BA169" s="57"/>
      <c r="BB169" s="57"/>
    </row>
    <row r="170" spans="1:54" s="62" customFormat="1" ht="21.6" x14ac:dyDescent="0.25">
      <c r="A170" s="61"/>
      <c r="B170" s="61"/>
      <c r="C170" s="113">
        <v>55</v>
      </c>
      <c r="D170" s="7" t="s">
        <v>152</v>
      </c>
      <c r="E170" s="115"/>
      <c r="F170" s="26"/>
      <c r="G170" s="27"/>
      <c r="H170" s="25"/>
      <c r="I170" s="25"/>
      <c r="J170" s="25"/>
      <c r="K170" s="25"/>
      <c r="L170" s="25"/>
      <c r="M170" s="25"/>
      <c r="N170" s="25"/>
      <c r="O170" s="25"/>
      <c r="P170" s="25"/>
      <c r="Q170" s="25"/>
      <c r="R170" s="25"/>
      <c r="S170" s="57"/>
      <c r="T170" s="57"/>
      <c r="U170" s="57"/>
      <c r="V170" s="57"/>
      <c r="W170" s="57"/>
      <c r="X170" s="57"/>
      <c r="Y170" s="57"/>
      <c r="Z170" s="57"/>
      <c r="AA170" s="57"/>
      <c r="AB170" s="57"/>
      <c r="AC170" s="57"/>
      <c r="AD170" s="57"/>
      <c r="AE170" s="57"/>
      <c r="AF170" s="57"/>
      <c r="AG170" s="57"/>
      <c r="AH170" s="57"/>
      <c r="AI170" s="57"/>
      <c r="AJ170" s="57"/>
      <c r="AK170" s="57"/>
      <c r="AL170" s="57"/>
      <c r="AM170" s="57"/>
      <c r="AN170" s="57"/>
      <c r="AO170" s="57"/>
      <c r="AP170" s="57"/>
      <c r="AQ170" s="57"/>
      <c r="AR170" s="57"/>
      <c r="AS170" s="57"/>
      <c r="AT170" s="57"/>
      <c r="AU170" s="57"/>
      <c r="AV170" s="57"/>
      <c r="AW170" s="57"/>
      <c r="AX170" s="57"/>
      <c r="AY170" s="57"/>
      <c r="AZ170" s="57"/>
      <c r="BA170" s="57"/>
      <c r="BB170" s="57"/>
    </row>
    <row r="171" spans="1:54" s="62" customFormat="1" ht="21.6" x14ac:dyDescent="0.25">
      <c r="A171" s="61"/>
      <c r="B171" s="61"/>
      <c r="C171" s="113"/>
      <c r="D171" s="7" t="s">
        <v>153</v>
      </c>
      <c r="E171" s="115"/>
      <c r="F171" s="26"/>
      <c r="G171" s="27"/>
      <c r="H171" s="25"/>
      <c r="I171" s="25"/>
      <c r="J171" s="25"/>
      <c r="K171" s="25"/>
      <c r="L171" s="25"/>
      <c r="M171" s="25"/>
      <c r="N171" s="25"/>
      <c r="O171" s="25"/>
      <c r="P171" s="25"/>
      <c r="Q171" s="25"/>
      <c r="R171" s="25"/>
      <c r="S171" s="57"/>
      <c r="T171" s="57"/>
      <c r="U171" s="57"/>
      <c r="V171" s="57"/>
      <c r="W171" s="57"/>
      <c r="X171" s="57"/>
      <c r="Y171" s="57"/>
      <c r="Z171" s="57"/>
      <c r="AA171" s="57"/>
      <c r="AB171" s="57"/>
      <c r="AC171" s="57"/>
      <c r="AD171" s="57"/>
      <c r="AE171" s="57"/>
      <c r="AF171" s="57"/>
      <c r="AG171" s="57"/>
      <c r="AH171" s="57"/>
      <c r="AI171" s="57"/>
      <c r="AJ171" s="57"/>
      <c r="AK171" s="57"/>
      <c r="AL171" s="57"/>
      <c r="AM171" s="57"/>
      <c r="AN171" s="57"/>
      <c r="AO171" s="57"/>
      <c r="AP171" s="57"/>
      <c r="AQ171" s="57"/>
      <c r="AR171" s="57"/>
      <c r="AS171" s="57"/>
      <c r="AT171" s="57"/>
      <c r="AU171" s="57"/>
      <c r="AV171" s="57"/>
      <c r="AW171" s="57"/>
      <c r="AX171" s="57"/>
      <c r="AY171" s="57"/>
      <c r="AZ171" s="57"/>
      <c r="BA171" s="57"/>
      <c r="BB171" s="57"/>
    </row>
    <row r="172" spans="1:54" s="62" customFormat="1" ht="21.6" x14ac:dyDescent="0.25">
      <c r="A172" s="61"/>
      <c r="B172" s="61"/>
      <c r="C172" s="75"/>
      <c r="D172" s="24"/>
      <c r="E172" s="115"/>
      <c r="F172" s="27"/>
      <c r="G172" s="27"/>
      <c r="H172" s="25"/>
      <c r="I172" s="25"/>
      <c r="J172" s="25"/>
      <c r="K172" s="25"/>
      <c r="L172" s="25"/>
      <c r="M172" s="25"/>
      <c r="N172" s="25"/>
      <c r="O172" s="25"/>
      <c r="P172" s="25"/>
      <c r="Q172" s="25"/>
      <c r="R172" s="25"/>
      <c r="S172" s="57"/>
      <c r="T172" s="57"/>
      <c r="U172" s="57"/>
      <c r="V172" s="57"/>
      <c r="W172" s="57"/>
      <c r="X172" s="57"/>
      <c r="Y172" s="57"/>
      <c r="Z172" s="57"/>
      <c r="AA172" s="57"/>
      <c r="AB172" s="57"/>
      <c r="AC172" s="57"/>
      <c r="AD172" s="57"/>
      <c r="AE172" s="57"/>
      <c r="AF172" s="57"/>
      <c r="AG172" s="57"/>
      <c r="AH172" s="57"/>
      <c r="AI172" s="57"/>
      <c r="AJ172" s="57"/>
      <c r="AK172" s="57"/>
      <c r="AL172" s="57"/>
      <c r="AM172" s="57"/>
      <c r="AN172" s="57"/>
      <c r="AO172" s="57"/>
      <c r="AP172" s="57"/>
      <c r="AQ172" s="57"/>
      <c r="AR172" s="57"/>
      <c r="AS172" s="57"/>
      <c r="AT172" s="57"/>
      <c r="AU172" s="57"/>
      <c r="AV172" s="57"/>
      <c r="AW172" s="57"/>
      <c r="AX172" s="57"/>
      <c r="AY172" s="57"/>
      <c r="AZ172" s="57"/>
      <c r="BA172" s="57"/>
      <c r="BB172" s="57"/>
    </row>
    <row r="173" spans="1:54" s="62" customFormat="1" ht="23.25" customHeight="1" x14ac:dyDescent="0.25">
      <c r="A173" s="61"/>
      <c r="B173" s="61"/>
      <c r="C173" s="113">
        <v>56</v>
      </c>
      <c r="D173" s="8" t="s">
        <v>154</v>
      </c>
      <c r="E173" s="115"/>
      <c r="F173" s="26"/>
      <c r="G173" s="27"/>
      <c r="H173" s="25"/>
      <c r="I173" s="25"/>
      <c r="J173" s="25"/>
      <c r="K173" s="25"/>
      <c r="L173" s="25"/>
      <c r="M173" s="25"/>
      <c r="N173" s="25"/>
      <c r="O173" s="25"/>
      <c r="P173" s="25"/>
      <c r="Q173" s="25"/>
      <c r="R173" s="25"/>
      <c r="S173" s="57"/>
      <c r="T173" s="57"/>
      <c r="U173" s="57"/>
      <c r="V173" s="57"/>
      <c r="W173" s="57"/>
      <c r="X173" s="57"/>
      <c r="Y173" s="57"/>
      <c r="Z173" s="57"/>
      <c r="AA173" s="57"/>
      <c r="AB173" s="57"/>
      <c r="AC173" s="57"/>
      <c r="AD173" s="57"/>
      <c r="AE173" s="57"/>
      <c r="AF173" s="57"/>
      <c r="AG173" s="57"/>
      <c r="AH173" s="57"/>
      <c r="AI173" s="57"/>
      <c r="AJ173" s="57"/>
      <c r="AK173" s="57"/>
      <c r="AL173" s="57"/>
      <c r="AM173" s="57"/>
      <c r="AN173" s="57"/>
      <c r="AO173" s="57"/>
      <c r="AP173" s="57"/>
      <c r="AQ173" s="57"/>
      <c r="AR173" s="57"/>
      <c r="AS173" s="57"/>
      <c r="AT173" s="57"/>
      <c r="AU173" s="57"/>
      <c r="AV173" s="57"/>
      <c r="AW173" s="57"/>
      <c r="AX173" s="57"/>
      <c r="AY173" s="57"/>
      <c r="AZ173" s="57"/>
      <c r="BA173" s="57"/>
      <c r="BB173" s="57"/>
    </row>
    <row r="174" spans="1:54" s="62" customFormat="1" ht="21.6" x14ac:dyDescent="0.25">
      <c r="A174" s="61"/>
      <c r="B174" s="61"/>
      <c r="C174" s="113"/>
      <c r="D174" s="8" t="s">
        <v>155</v>
      </c>
      <c r="E174" s="115"/>
      <c r="F174" s="26"/>
      <c r="G174" s="27"/>
      <c r="H174" s="25"/>
      <c r="I174" s="25"/>
      <c r="J174" s="25"/>
      <c r="K174" s="25"/>
      <c r="L174" s="25"/>
      <c r="M174" s="25"/>
      <c r="N174" s="25"/>
      <c r="O174" s="25"/>
      <c r="P174" s="25"/>
      <c r="Q174" s="25"/>
      <c r="R174" s="25"/>
      <c r="S174" s="57"/>
      <c r="T174" s="57"/>
      <c r="U174" s="57"/>
      <c r="V174" s="57"/>
      <c r="W174" s="57"/>
      <c r="X174" s="57"/>
      <c r="Y174" s="57"/>
      <c r="Z174" s="57"/>
      <c r="AA174" s="57"/>
      <c r="AB174" s="57"/>
      <c r="AC174" s="57"/>
      <c r="AD174" s="57"/>
      <c r="AE174" s="57"/>
      <c r="AF174" s="57"/>
      <c r="AG174" s="57"/>
      <c r="AH174" s="57"/>
      <c r="AI174" s="57"/>
      <c r="AJ174" s="57"/>
      <c r="AK174" s="57"/>
      <c r="AL174" s="57"/>
      <c r="AM174" s="57"/>
      <c r="AN174" s="57"/>
      <c r="AO174" s="57"/>
      <c r="AP174" s="57"/>
      <c r="AQ174" s="57"/>
      <c r="AR174" s="57"/>
      <c r="AS174" s="57"/>
      <c r="AT174" s="57"/>
      <c r="AU174" s="57"/>
      <c r="AV174" s="57"/>
      <c r="AW174" s="57"/>
      <c r="AX174" s="57"/>
      <c r="AY174" s="57"/>
      <c r="AZ174" s="57"/>
      <c r="BA174" s="57"/>
      <c r="BB174" s="57"/>
    </row>
    <row r="175" spans="1:54" s="62" customFormat="1" ht="21.6" x14ac:dyDescent="0.25">
      <c r="A175" s="61"/>
      <c r="B175" s="61"/>
      <c r="C175" s="75"/>
      <c r="D175" s="24"/>
      <c r="E175" s="115"/>
      <c r="F175" s="27"/>
      <c r="G175" s="27"/>
      <c r="H175" s="25"/>
      <c r="I175" s="25"/>
      <c r="J175" s="25"/>
      <c r="K175" s="25"/>
      <c r="L175" s="25"/>
      <c r="M175" s="25"/>
      <c r="N175" s="25"/>
      <c r="O175" s="25"/>
      <c r="P175" s="25"/>
      <c r="Q175" s="25"/>
      <c r="R175" s="25"/>
      <c r="S175" s="57"/>
      <c r="T175" s="57"/>
      <c r="U175" s="57"/>
      <c r="V175" s="57"/>
      <c r="W175" s="57"/>
      <c r="X175" s="57"/>
      <c r="Y175" s="57"/>
      <c r="Z175" s="57"/>
      <c r="AA175" s="57"/>
      <c r="AB175" s="57"/>
      <c r="AC175" s="57"/>
      <c r="AD175" s="57"/>
      <c r="AE175" s="57"/>
      <c r="AF175" s="57"/>
      <c r="AG175" s="57"/>
      <c r="AH175" s="57"/>
      <c r="AI175" s="57"/>
      <c r="AJ175" s="57"/>
      <c r="AK175" s="57"/>
      <c r="AL175" s="57"/>
      <c r="AM175" s="57"/>
      <c r="AN175" s="57"/>
      <c r="AO175" s="57"/>
      <c r="AP175" s="57"/>
      <c r="AQ175" s="57"/>
      <c r="AR175" s="57"/>
      <c r="AS175" s="57"/>
      <c r="AT175" s="57"/>
      <c r="AU175" s="57"/>
      <c r="AV175" s="57"/>
      <c r="AW175" s="57"/>
      <c r="AX175" s="57"/>
      <c r="AY175" s="57"/>
      <c r="AZ175" s="57"/>
      <c r="BA175" s="57"/>
      <c r="BB175" s="57"/>
    </row>
    <row r="176" spans="1:54" s="62" customFormat="1" ht="21.6" x14ac:dyDescent="0.25">
      <c r="A176" s="61"/>
      <c r="B176" s="61"/>
      <c r="C176" s="113">
        <v>57</v>
      </c>
      <c r="D176" s="7" t="s">
        <v>156</v>
      </c>
      <c r="E176" s="115"/>
      <c r="F176" s="26"/>
      <c r="G176" s="27"/>
      <c r="H176" s="25"/>
      <c r="I176" s="25"/>
      <c r="J176" s="25"/>
      <c r="K176" s="25"/>
      <c r="L176" s="25"/>
      <c r="M176" s="25"/>
      <c r="N176" s="25"/>
      <c r="O176" s="25"/>
      <c r="P176" s="25"/>
      <c r="Q176" s="25"/>
      <c r="R176" s="25"/>
      <c r="S176" s="57"/>
      <c r="T176" s="57"/>
      <c r="U176" s="57"/>
      <c r="V176" s="57"/>
      <c r="W176" s="57"/>
      <c r="X176" s="57"/>
      <c r="Y176" s="57"/>
      <c r="Z176" s="57"/>
      <c r="AA176" s="57"/>
      <c r="AB176" s="57"/>
      <c r="AC176" s="57"/>
      <c r="AD176" s="57"/>
      <c r="AE176" s="57"/>
      <c r="AF176" s="57"/>
      <c r="AG176" s="57"/>
      <c r="AH176" s="57"/>
      <c r="AI176" s="57"/>
      <c r="AJ176" s="57"/>
      <c r="AK176" s="57"/>
      <c r="AL176" s="57"/>
      <c r="AM176" s="57"/>
      <c r="AN176" s="57"/>
      <c r="AO176" s="57"/>
      <c r="AP176" s="57"/>
      <c r="AQ176" s="57"/>
      <c r="AR176" s="57"/>
      <c r="AS176" s="57"/>
      <c r="AT176" s="57"/>
      <c r="AU176" s="57"/>
      <c r="AV176" s="57"/>
      <c r="AW176" s="57"/>
      <c r="AX176" s="57"/>
      <c r="AY176" s="57"/>
      <c r="AZ176" s="57"/>
      <c r="BA176" s="57"/>
      <c r="BB176" s="57"/>
    </row>
    <row r="177" spans="1:54" s="62" customFormat="1" ht="21.6" x14ac:dyDescent="0.25">
      <c r="A177" s="61"/>
      <c r="B177" s="61"/>
      <c r="C177" s="113"/>
      <c r="D177" s="7" t="s">
        <v>157</v>
      </c>
      <c r="E177" s="115"/>
      <c r="F177" s="26"/>
      <c r="G177" s="27"/>
      <c r="H177" s="25"/>
      <c r="I177" s="25"/>
      <c r="J177" s="25"/>
      <c r="K177" s="25"/>
      <c r="L177" s="25"/>
      <c r="M177" s="25"/>
      <c r="N177" s="25"/>
      <c r="O177" s="25"/>
      <c r="P177" s="25"/>
      <c r="Q177" s="25"/>
      <c r="R177" s="25"/>
      <c r="S177" s="57"/>
      <c r="T177" s="57"/>
      <c r="U177" s="57"/>
      <c r="V177" s="57"/>
      <c r="W177" s="57"/>
      <c r="X177" s="57"/>
      <c r="Y177" s="57"/>
      <c r="Z177" s="57"/>
      <c r="AA177" s="57"/>
      <c r="AB177" s="57"/>
      <c r="AC177" s="57"/>
      <c r="AD177" s="57"/>
      <c r="AE177" s="57"/>
      <c r="AF177" s="57"/>
      <c r="AG177" s="57"/>
      <c r="AH177" s="57"/>
      <c r="AI177" s="57"/>
      <c r="AJ177" s="57"/>
      <c r="AK177" s="57"/>
      <c r="AL177" s="57"/>
      <c r="AM177" s="57"/>
      <c r="AN177" s="57"/>
      <c r="AO177" s="57"/>
      <c r="AP177" s="57"/>
      <c r="AQ177" s="57"/>
      <c r="AR177" s="57"/>
      <c r="AS177" s="57"/>
      <c r="AT177" s="57"/>
      <c r="AU177" s="57"/>
      <c r="AV177" s="57"/>
      <c r="AW177" s="57"/>
      <c r="AX177" s="57"/>
      <c r="AY177" s="57"/>
      <c r="AZ177" s="57"/>
      <c r="BA177" s="57"/>
      <c r="BB177" s="57"/>
    </row>
    <row r="178" spans="1:54" s="62" customFormat="1" ht="21.6" x14ac:dyDescent="0.25">
      <c r="A178" s="61"/>
      <c r="B178" s="61"/>
      <c r="C178" s="75"/>
      <c r="D178" s="24"/>
      <c r="E178" s="115"/>
      <c r="F178" s="27"/>
      <c r="G178" s="27"/>
      <c r="H178" s="25"/>
      <c r="I178" s="25"/>
      <c r="J178" s="25"/>
      <c r="K178" s="25"/>
      <c r="L178" s="25"/>
      <c r="M178" s="25"/>
      <c r="N178" s="25"/>
      <c r="O178" s="25"/>
      <c r="P178" s="25"/>
      <c r="Q178" s="25"/>
      <c r="R178" s="25"/>
      <c r="S178" s="57"/>
      <c r="T178" s="57"/>
      <c r="U178" s="57"/>
      <c r="V178" s="57"/>
      <c r="W178" s="57"/>
      <c r="X178" s="57"/>
      <c r="Y178" s="57"/>
      <c r="Z178" s="57"/>
      <c r="AA178" s="57"/>
      <c r="AB178" s="57"/>
      <c r="AC178" s="57"/>
      <c r="AD178" s="57"/>
      <c r="AE178" s="57"/>
      <c r="AF178" s="57"/>
      <c r="AG178" s="57"/>
      <c r="AH178" s="57"/>
      <c r="AI178" s="57"/>
      <c r="AJ178" s="57"/>
      <c r="AK178" s="57"/>
      <c r="AL178" s="57"/>
      <c r="AM178" s="57"/>
      <c r="AN178" s="57"/>
      <c r="AO178" s="57"/>
      <c r="AP178" s="57"/>
      <c r="AQ178" s="57"/>
      <c r="AR178" s="57"/>
      <c r="AS178" s="57"/>
      <c r="AT178" s="57"/>
      <c r="AU178" s="57"/>
      <c r="AV178" s="57"/>
      <c r="AW178" s="57"/>
      <c r="AX178" s="57"/>
      <c r="AY178" s="57"/>
      <c r="AZ178" s="57"/>
      <c r="BA178" s="57"/>
      <c r="BB178" s="57"/>
    </row>
    <row r="179" spans="1:54" s="62" customFormat="1" ht="21.6" x14ac:dyDescent="0.25">
      <c r="A179" s="61"/>
      <c r="B179" s="61"/>
      <c r="C179" s="113">
        <v>58</v>
      </c>
      <c r="D179" s="7" t="s">
        <v>158</v>
      </c>
      <c r="E179" s="115"/>
      <c r="F179" s="26"/>
      <c r="G179" s="27"/>
      <c r="H179" s="25"/>
      <c r="I179" s="25"/>
      <c r="J179" s="25"/>
      <c r="K179" s="25"/>
      <c r="L179" s="25"/>
      <c r="M179" s="25"/>
      <c r="N179" s="25"/>
      <c r="O179" s="25"/>
      <c r="P179" s="25"/>
      <c r="Q179" s="25"/>
      <c r="R179" s="25"/>
      <c r="S179" s="57"/>
      <c r="T179" s="57"/>
      <c r="U179" s="57"/>
      <c r="V179" s="57"/>
      <c r="W179" s="57"/>
      <c r="X179" s="57"/>
      <c r="Y179" s="57"/>
      <c r="Z179" s="57"/>
      <c r="AA179" s="57"/>
      <c r="AB179" s="57"/>
      <c r="AC179" s="57"/>
      <c r="AD179" s="57"/>
      <c r="AE179" s="57"/>
      <c r="AF179" s="57"/>
      <c r="AG179" s="57"/>
      <c r="AH179" s="57"/>
      <c r="AI179" s="57"/>
      <c r="AJ179" s="57"/>
      <c r="AK179" s="57"/>
      <c r="AL179" s="57"/>
      <c r="AM179" s="57"/>
      <c r="AN179" s="57"/>
      <c r="AO179" s="57"/>
      <c r="AP179" s="57"/>
      <c r="AQ179" s="57"/>
      <c r="AR179" s="57"/>
      <c r="AS179" s="57"/>
      <c r="AT179" s="57"/>
      <c r="AU179" s="57"/>
      <c r="AV179" s="57"/>
      <c r="AW179" s="57"/>
      <c r="AX179" s="57"/>
      <c r="AY179" s="57"/>
      <c r="AZ179" s="57"/>
      <c r="BA179" s="57"/>
      <c r="BB179" s="57"/>
    </row>
    <row r="180" spans="1:54" s="62" customFormat="1" ht="21.6" x14ac:dyDescent="0.25">
      <c r="A180" s="61"/>
      <c r="B180" s="61"/>
      <c r="C180" s="113"/>
      <c r="D180" s="7" t="s">
        <v>159</v>
      </c>
      <c r="E180" s="115"/>
      <c r="F180" s="26"/>
      <c r="G180" s="27"/>
      <c r="H180" s="25"/>
      <c r="I180" s="25"/>
      <c r="J180" s="25"/>
      <c r="K180" s="25"/>
      <c r="L180" s="25"/>
      <c r="M180" s="25"/>
      <c r="N180" s="25"/>
      <c r="O180" s="25"/>
      <c r="P180" s="25"/>
      <c r="Q180" s="25"/>
      <c r="R180" s="25"/>
      <c r="S180" s="57"/>
      <c r="T180" s="57"/>
      <c r="U180" s="57"/>
      <c r="V180" s="57"/>
      <c r="W180" s="57"/>
      <c r="X180" s="57"/>
      <c r="Y180" s="57"/>
      <c r="Z180" s="57"/>
      <c r="AA180" s="57"/>
      <c r="AB180" s="57"/>
      <c r="AC180" s="57"/>
      <c r="AD180" s="57"/>
      <c r="AE180" s="57"/>
      <c r="AF180" s="57"/>
      <c r="AG180" s="57"/>
      <c r="AH180" s="57"/>
      <c r="AI180" s="57"/>
      <c r="AJ180" s="57"/>
      <c r="AK180" s="57"/>
      <c r="AL180" s="57"/>
      <c r="AM180" s="57"/>
      <c r="AN180" s="57"/>
      <c r="AO180" s="57"/>
      <c r="AP180" s="57"/>
      <c r="AQ180" s="57"/>
      <c r="AR180" s="57"/>
      <c r="AS180" s="57"/>
      <c r="AT180" s="57"/>
      <c r="AU180" s="57"/>
      <c r="AV180" s="57"/>
      <c r="AW180" s="57"/>
      <c r="AX180" s="57"/>
      <c r="AY180" s="57"/>
      <c r="AZ180" s="57"/>
      <c r="BA180" s="57"/>
      <c r="BB180" s="57"/>
    </row>
    <row r="181" spans="1:54" s="62" customFormat="1" ht="21.6" x14ac:dyDescent="0.25">
      <c r="A181" s="61"/>
      <c r="B181" s="61"/>
      <c r="C181" s="75"/>
      <c r="D181" s="24"/>
      <c r="E181" s="115"/>
      <c r="F181" s="27"/>
      <c r="G181" s="27"/>
      <c r="H181" s="25"/>
      <c r="I181" s="25"/>
      <c r="J181" s="25"/>
      <c r="K181" s="25"/>
      <c r="L181" s="25"/>
      <c r="M181" s="25"/>
      <c r="N181" s="25"/>
      <c r="O181" s="25"/>
      <c r="P181" s="25"/>
      <c r="Q181" s="25"/>
      <c r="R181" s="25"/>
      <c r="S181" s="57"/>
      <c r="T181" s="57"/>
      <c r="U181" s="57"/>
      <c r="V181" s="57"/>
      <c r="W181" s="57"/>
      <c r="X181" s="57"/>
      <c r="Y181" s="57"/>
      <c r="Z181" s="57"/>
      <c r="AA181" s="57"/>
      <c r="AB181" s="57"/>
      <c r="AC181" s="57"/>
      <c r="AD181" s="57"/>
      <c r="AE181" s="57"/>
      <c r="AF181" s="57"/>
      <c r="AG181" s="57"/>
      <c r="AH181" s="57"/>
      <c r="AI181" s="57"/>
      <c r="AJ181" s="57"/>
      <c r="AK181" s="57"/>
      <c r="AL181" s="57"/>
      <c r="AM181" s="57"/>
      <c r="AN181" s="57"/>
      <c r="AO181" s="57"/>
      <c r="AP181" s="57"/>
      <c r="AQ181" s="57"/>
      <c r="AR181" s="57"/>
      <c r="AS181" s="57"/>
      <c r="AT181" s="57"/>
      <c r="AU181" s="57"/>
      <c r="AV181" s="57"/>
      <c r="AW181" s="57"/>
      <c r="AX181" s="57"/>
      <c r="AY181" s="57"/>
      <c r="AZ181" s="57"/>
      <c r="BA181" s="57"/>
      <c r="BB181" s="57"/>
    </row>
    <row r="182" spans="1:54" s="62" customFormat="1" ht="21.6" x14ac:dyDescent="0.25">
      <c r="A182" s="61"/>
      <c r="B182" s="61"/>
      <c r="C182" s="113">
        <v>59</v>
      </c>
      <c r="D182" s="7" t="s">
        <v>160</v>
      </c>
      <c r="E182" s="115"/>
      <c r="F182" s="26"/>
      <c r="G182" s="27"/>
      <c r="H182" s="25"/>
      <c r="I182" s="25"/>
      <c r="J182" s="25"/>
      <c r="K182" s="25"/>
      <c r="L182" s="25"/>
      <c r="M182" s="25"/>
      <c r="N182" s="25"/>
      <c r="O182" s="25"/>
      <c r="P182" s="25"/>
      <c r="Q182" s="25"/>
      <c r="R182" s="25"/>
      <c r="S182" s="57"/>
      <c r="T182" s="57"/>
      <c r="U182" s="57"/>
      <c r="V182" s="57"/>
      <c r="W182" s="57"/>
      <c r="X182" s="57"/>
      <c r="Y182" s="57"/>
      <c r="Z182" s="57"/>
      <c r="AA182" s="57"/>
      <c r="AB182" s="57"/>
      <c r="AC182" s="57"/>
      <c r="AD182" s="57"/>
      <c r="AE182" s="57"/>
      <c r="AF182" s="57"/>
      <c r="AG182" s="57"/>
      <c r="AH182" s="57"/>
      <c r="AI182" s="57"/>
      <c r="AJ182" s="57"/>
      <c r="AK182" s="57"/>
      <c r="AL182" s="57"/>
      <c r="AM182" s="57"/>
      <c r="AN182" s="57"/>
      <c r="AO182" s="57"/>
      <c r="AP182" s="57"/>
      <c r="AQ182" s="57"/>
      <c r="AR182" s="57"/>
      <c r="AS182" s="57"/>
      <c r="AT182" s="57"/>
      <c r="AU182" s="57"/>
      <c r="AV182" s="57"/>
      <c r="AW182" s="57"/>
      <c r="AX182" s="57"/>
      <c r="AY182" s="57"/>
      <c r="AZ182" s="57"/>
      <c r="BA182" s="57"/>
      <c r="BB182" s="57"/>
    </row>
    <row r="183" spans="1:54" s="62" customFormat="1" ht="21.6" x14ac:dyDescent="0.25">
      <c r="A183" s="61"/>
      <c r="B183" s="61"/>
      <c r="C183" s="113"/>
      <c r="D183" s="7" t="s">
        <v>161</v>
      </c>
      <c r="E183" s="115"/>
      <c r="F183" s="26"/>
      <c r="G183" s="27"/>
      <c r="H183" s="25"/>
      <c r="I183" s="25"/>
      <c r="J183" s="25"/>
      <c r="K183" s="25"/>
      <c r="L183" s="25"/>
      <c r="M183" s="25"/>
      <c r="N183" s="25"/>
      <c r="O183" s="25"/>
      <c r="P183" s="25"/>
      <c r="Q183" s="25"/>
      <c r="R183" s="25"/>
      <c r="S183" s="57"/>
      <c r="T183" s="57"/>
      <c r="U183" s="57"/>
      <c r="V183" s="57"/>
      <c r="W183" s="57"/>
      <c r="X183" s="57"/>
      <c r="Y183" s="57"/>
      <c r="Z183" s="57"/>
      <c r="AA183" s="57"/>
      <c r="AB183" s="57"/>
      <c r="AC183" s="57"/>
      <c r="AD183" s="57"/>
      <c r="AE183" s="57"/>
      <c r="AF183" s="57"/>
      <c r="AG183" s="57"/>
      <c r="AH183" s="57"/>
      <c r="AI183" s="57"/>
      <c r="AJ183" s="57"/>
      <c r="AK183" s="57"/>
      <c r="AL183" s="57"/>
      <c r="AM183" s="57"/>
      <c r="AN183" s="57"/>
      <c r="AO183" s="57"/>
      <c r="AP183" s="57"/>
      <c r="AQ183" s="57"/>
      <c r="AR183" s="57"/>
      <c r="AS183" s="57"/>
      <c r="AT183" s="57"/>
      <c r="AU183" s="57"/>
      <c r="AV183" s="57"/>
      <c r="AW183" s="57"/>
      <c r="AX183" s="57"/>
      <c r="AY183" s="57"/>
      <c r="AZ183" s="57"/>
      <c r="BA183" s="57"/>
      <c r="BB183" s="57"/>
    </row>
    <row r="184" spans="1:54" s="62" customFormat="1" ht="21.6" x14ac:dyDescent="0.25">
      <c r="A184" s="61"/>
      <c r="B184" s="61"/>
      <c r="C184" s="75"/>
      <c r="D184" s="24"/>
      <c r="E184" s="115"/>
      <c r="F184" s="27"/>
      <c r="G184" s="27"/>
      <c r="H184" s="25"/>
      <c r="I184" s="25"/>
      <c r="J184" s="25"/>
      <c r="K184" s="25"/>
      <c r="L184" s="25"/>
      <c r="M184" s="25"/>
      <c r="N184" s="25"/>
      <c r="O184" s="25"/>
      <c r="P184" s="25"/>
      <c r="Q184" s="25"/>
      <c r="R184" s="25"/>
      <c r="S184" s="57"/>
      <c r="T184" s="57"/>
      <c r="U184" s="57"/>
      <c r="V184" s="57"/>
      <c r="W184" s="57"/>
      <c r="X184" s="57"/>
      <c r="Y184" s="57"/>
      <c r="Z184" s="57"/>
      <c r="AA184" s="57"/>
      <c r="AB184" s="57"/>
      <c r="AC184" s="57"/>
      <c r="AD184" s="57"/>
      <c r="AE184" s="57"/>
      <c r="AF184" s="57"/>
      <c r="AG184" s="57"/>
      <c r="AH184" s="57"/>
      <c r="AI184" s="57"/>
      <c r="AJ184" s="57"/>
      <c r="AK184" s="57"/>
      <c r="AL184" s="57"/>
      <c r="AM184" s="57"/>
      <c r="AN184" s="57"/>
      <c r="AO184" s="57"/>
      <c r="AP184" s="57"/>
      <c r="AQ184" s="57"/>
      <c r="AR184" s="57"/>
      <c r="AS184" s="57"/>
      <c r="AT184" s="57"/>
      <c r="AU184" s="57"/>
      <c r="AV184" s="57"/>
      <c r="AW184" s="57"/>
      <c r="AX184" s="57"/>
      <c r="AY184" s="57"/>
      <c r="AZ184" s="57"/>
      <c r="BA184" s="57"/>
      <c r="BB184" s="57"/>
    </row>
    <row r="185" spans="1:54" s="62" customFormat="1" ht="21.6" x14ac:dyDescent="0.25">
      <c r="A185" s="61"/>
      <c r="B185" s="61"/>
      <c r="C185" s="113">
        <v>60</v>
      </c>
      <c r="D185" s="7" t="s">
        <v>162</v>
      </c>
      <c r="E185" s="115"/>
      <c r="F185" s="26"/>
      <c r="G185" s="27"/>
      <c r="H185" s="25"/>
      <c r="I185" s="25"/>
      <c r="J185" s="25"/>
      <c r="K185" s="25"/>
      <c r="L185" s="25"/>
      <c r="M185" s="25"/>
      <c r="N185" s="25"/>
      <c r="O185" s="25"/>
      <c r="P185" s="25"/>
      <c r="Q185" s="25"/>
      <c r="R185" s="25"/>
      <c r="S185" s="57"/>
      <c r="T185" s="57"/>
      <c r="U185" s="57"/>
      <c r="V185" s="57"/>
      <c r="W185" s="57"/>
      <c r="X185" s="57"/>
      <c r="Y185" s="57"/>
      <c r="Z185" s="57"/>
      <c r="AA185" s="57"/>
      <c r="AB185" s="57"/>
      <c r="AC185" s="57"/>
      <c r="AD185" s="57"/>
      <c r="AE185" s="57"/>
      <c r="AF185" s="57"/>
      <c r="AG185" s="57"/>
      <c r="AH185" s="57"/>
      <c r="AI185" s="57"/>
      <c r="AJ185" s="57"/>
      <c r="AK185" s="57"/>
      <c r="AL185" s="57"/>
      <c r="AM185" s="57"/>
      <c r="AN185" s="57"/>
      <c r="AO185" s="57"/>
      <c r="AP185" s="57"/>
      <c r="AQ185" s="57"/>
      <c r="AR185" s="57"/>
      <c r="AS185" s="57"/>
      <c r="AT185" s="57"/>
      <c r="AU185" s="57"/>
      <c r="AV185" s="57"/>
      <c r="AW185" s="57"/>
      <c r="AX185" s="57"/>
      <c r="AY185" s="57"/>
      <c r="AZ185" s="57"/>
      <c r="BA185" s="57"/>
      <c r="BB185" s="57"/>
    </row>
    <row r="186" spans="1:54" s="62" customFormat="1" ht="21.6" x14ac:dyDescent="0.25">
      <c r="A186" s="61"/>
      <c r="B186" s="61"/>
      <c r="C186" s="113"/>
      <c r="D186" s="7" t="s">
        <v>163</v>
      </c>
      <c r="E186" s="115"/>
      <c r="F186" s="26"/>
      <c r="G186" s="27"/>
      <c r="H186" s="25"/>
      <c r="I186" s="25"/>
      <c r="J186" s="25"/>
      <c r="K186" s="25"/>
      <c r="L186" s="25"/>
      <c r="M186" s="25"/>
      <c r="N186" s="25"/>
      <c r="O186" s="25"/>
      <c r="P186" s="25"/>
      <c r="Q186" s="25"/>
      <c r="R186" s="25"/>
      <c r="S186" s="57"/>
      <c r="T186" s="57"/>
      <c r="U186" s="57"/>
      <c r="V186" s="57"/>
      <c r="W186" s="57"/>
      <c r="X186" s="57"/>
      <c r="Y186" s="57"/>
      <c r="Z186" s="57"/>
      <c r="AA186" s="57"/>
      <c r="AB186" s="57"/>
      <c r="AC186" s="57"/>
      <c r="AD186" s="57"/>
      <c r="AE186" s="57"/>
      <c r="AF186" s="57"/>
      <c r="AG186" s="57"/>
      <c r="AH186" s="57"/>
      <c r="AI186" s="57"/>
      <c r="AJ186" s="57"/>
      <c r="AK186" s="57"/>
      <c r="AL186" s="57"/>
      <c r="AM186" s="57"/>
      <c r="AN186" s="57"/>
      <c r="AO186" s="57"/>
      <c r="AP186" s="57"/>
      <c r="AQ186" s="57"/>
      <c r="AR186" s="57"/>
      <c r="AS186" s="57"/>
      <c r="AT186" s="57"/>
      <c r="AU186" s="57"/>
      <c r="AV186" s="57"/>
      <c r="AW186" s="57"/>
      <c r="AX186" s="57"/>
      <c r="AY186" s="57"/>
      <c r="AZ186" s="57"/>
      <c r="BA186" s="57"/>
      <c r="BB186" s="57"/>
    </row>
    <row r="187" spans="1:54" s="62" customFormat="1" ht="21.6" x14ac:dyDescent="0.25">
      <c r="A187" s="61"/>
      <c r="B187" s="61"/>
      <c r="C187" s="76"/>
      <c r="D187" s="25"/>
      <c r="E187" s="115"/>
      <c r="F187" s="27"/>
      <c r="G187" s="27"/>
      <c r="H187" s="25"/>
      <c r="I187" s="25"/>
      <c r="J187" s="25"/>
      <c r="K187" s="25"/>
      <c r="L187" s="25"/>
      <c r="M187" s="25"/>
      <c r="N187" s="25"/>
      <c r="O187" s="25"/>
      <c r="P187" s="25"/>
      <c r="Q187" s="25"/>
      <c r="R187" s="25"/>
      <c r="S187" s="57"/>
      <c r="T187" s="57"/>
      <c r="U187" s="57"/>
      <c r="V187" s="57"/>
      <c r="W187" s="57"/>
      <c r="X187" s="57"/>
      <c r="Y187" s="57"/>
      <c r="Z187" s="57"/>
      <c r="AA187" s="57"/>
      <c r="AB187" s="57"/>
      <c r="AC187" s="57"/>
      <c r="AD187" s="57"/>
      <c r="AE187" s="57"/>
      <c r="AF187" s="57"/>
      <c r="AG187" s="57"/>
      <c r="AH187" s="57"/>
      <c r="AI187" s="57"/>
      <c r="AJ187" s="57"/>
      <c r="AK187" s="57"/>
      <c r="AL187" s="57"/>
      <c r="AM187" s="57"/>
      <c r="AN187" s="57"/>
      <c r="AO187" s="57"/>
      <c r="AP187" s="57"/>
      <c r="AQ187" s="57"/>
      <c r="AR187" s="57"/>
      <c r="AS187" s="57"/>
      <c r="AT187" s="57"/>
      <c r="AU187" s="57"/>
      <c r="AV187" s="57"/>
      <c r="AW187" s="57"/>
      <c r="AX187" s="57"/>
      <c r="AY187" s="57"/>
      <c r="AZ187" s="57"/>
      <c r="BA187" s="57"/>
      <c r="BB187" s="57"/>
    </row>
    <row r="188" spans="1:54" s="62" customFormat="1" ht="56.4" customHeight="1" x14ac:dyDescent="0.25">
      <c r="A188" s="61"/>
      <c r="B188" s="61"/>
      <c r="C188" s="112" t="s">
        <v>220</v>
      </c>
      <c r="D188" s="112"/>
      <c r="E188" s="112"/>
      <c r="F188" s="112"/>
      <c r="G188" s="27"/>
      <c r="H188" s="25"/>
      <c r="I188" s="25"/>
      <c r="J188" s="25"/>
      <c r="K188" s="25"/>
      <c r="L188" s="25"/>
      <c r="M188" s="25"/>
      <c r="N188" s="25"/>
      <c r="O188" s="25"/>
      <c r="P188" s="25"/>
      <c r="Q188" s="25"/>
      <c r="R188" s="25"/>
      <c r="S188" s="57"/>
      <c r="T188" s="57"/>
      <c r="U188" s="57"/>
      <c r="V188" s="57"/>
      <c r="W188" s="57"/>
      <c r="X188" s="57"/>
      <c r="Y188" s="57"/>
      <c r="Z188" s="57"/>
      <c r="AA188" s="57"/>
      <c r="AB188" s="57"/>
      <c r="AC188" s="57"/>
      <c r="AD188" s="57"/>
      <c r="AE188" s="57"/>
      <c r="AF188" s="57"/>
      <c r="AG188" s="57"/>
      <c r="AH188" s="57"/>
      <c r="AI188" s="57"/>
      <c r="AJ188" s="57"/>
      <c r="AK188" s="57"/>
      <c r="AL188" s="57"/>
      <c r="AM188" s="57"/>
      <c r="AN188" s="57"/>
      <c r="AO188" s="57"/>
      <c r="AP188" s="57"/>
      <c r="AQ188" s="57"/>
      <c r="AR188" s="57"/>
      <c r="AS188" s="57"/>
      <c r="AT188" s="57"/>
      <c r="AU188" s="57"/>
      <c r="AV188" s="57"/>
      <c r="AW188" s="57"/>
      <c r="AX188" s="57"/>
      <c r="AY188" s="57"/>
      <c r="AZ188" s="57"/>
      <c r="BA188" s="57"/>
      <c r="BB188" s="57"/>
    </row>
    <row r="189" spans="1:54" s="62" customFormat="1" ht="21.6" x14ac:dyDescent="0.25">
      <c r="A189" s="61"/>
      <c r="B189" s="61"/>
      <c r="C189" s="76"/>
      <c r="D189" s="25"/>
      <c r="E189" s="25"/>
      <c r="F189" s="27"/>
      <c r="G189" s="27"/>
      <c r="H189" s="25"/>
      <c r="I189" s="25"/>
      <c r="J189" s="25"/>
      <c r="K189" s="25"/>
      <c r="L189" s="25"/>
      <c r="M189" s="25"/>
      <c r="N189" s="25"/>
      <c r="O189" s="25"/>
      <c r="P189" s="25"/>
      <c r="Q189" s="25"/>
      <c r="R189" s="25"/>
      <c r="S189" s="57"/>
      <c r="T189" s="57"/>
      <c r="U189" s="57"/>
      <c r="V189" s="57"/>
      <c r="W189" s="57"/>
      <c r="X189" s="57"/>
      <c r="Y189" s="57"/>
      <c r="Z189" s="57"/>
      <c r="AA189" s="57"/>
      <c r="AB189" s="57"/>
      <c r="AC189" s="57"/>
      <c r="AD189" s="57"/>
      <c r="AE189" s="57"/>
      <c r="AF189" s="57"/>
      <c r="AG189" s="57"/>
      <c r="AH189" s="57"/>
      <c r="AI189" s="57"/>
      <c r="AJ189" s="57"/>
      <c r="AK189" s="57"/>
      <c r="AL189" s="57"/>
      <c r="AM189" s="57"/>
      <c r="AN189" s="57"/>
      <c r="AO189" s="57"/>
      <c r="AP189" s="57"/>
      <c r="AQ189" s="57"/>
      <c r="AR189" s="57"/>
      <c r="AS189" s="57"/>
      <c r="AT189" s="57"/>
      <c r="AU189" s="57"/>
      <c r="AV189" s="57"/>
      <c r="AW189" s="57"/>
      <c r="AX189" s="57"/>
      <c r="AY189" s="57"/>
      <c r="AZ189" s="57"/>
      <c r="BA189" s="57"/>
      <c r="BB189" s="57"/>
    </row>
    <row r="190" spans="1:54" s="62" customFormat="1" ht="21.6" x14ac:dyDescent="0.25">
      <c r="A190" s="61"/>
      <c r="B190" s="61"/>
      <c r="C190" s="76"/>
      <c r="D190" s="25"/>
      <c r="E190" s="25"/>
      <c r="F190" s="27"/>
      <c r="G190" s="27"/>
      <c r="H190" s="25"/>
      <c r="I190" s="25"/>
      <c r="J190" s="25"/>
      <c r="K190" s="25"/>
      <c r="L190" s="25"/>
      <c r="M190" s="25"/>
      <c r="N190" s="25"/>
      <c r="O190" s="25"/>
      <c r="P190" s="25"/>
      <c r="Q190" s="25"/>
      <c r="R190" s="25"/>
      <c r="S190" s="57"/>
      <c r="T190" s="57"/>
      <c r="U190" s="57"/>
      <c r="V190" s="57"/>
      <c r="W190" s="57"/>
      <c r="X190" s="57"/>
      <c r="Y190" s="57"/>
      <c r="Z190" s="57"/>
      <c r="AA190" s="57"/>
      <c r="AB190" s="57"/>
      <c r="AC190" s="57"/>
      <c r="AD190" s="57"/>
      <c r="AE190" s="57"/>
      <c r="AF190" s="57"/>
      <c r="AG190" s="57"/>
      <c r="AH190" s="57"/>
      <c r="AI190" s="57"/>
      <c r="AJ190" s="57"/>
      <c r="AK190" s="57"/>
      <c r="AL190" s="57"/>
      <c r="AM190" s="57"/>
      <c r="AN190" s="57"/>
      <c r="AO190" s="57"/>
      <c r="AP190" s="57"/>
      <c r="AQ190" s="57"/>
      <c r="AR190" s="57"/>
      <c r="AS190" s="57"/>
      <c r="AT190" s="57"/>
      <c r="AU190" s="57"/>
      <c r="AV190" s="57"/>
      <c r="AW190" s="57"/>
      <c r="AX190" s="57"/>
      <c r="AY190" s="57"/>
      <c r="AZ190" s="57"/>
      <c r="BA190" s="57"/>
      <c r="BB190" s="57"/>
    </row>
    <row r="191" spans="1:54" s="62" customFormat="1" ht="21.6" x14ac:dyDescent="0.25">
      <c r="A191" s="61"/>
      <c r="B191" s="61"/>
      <c r="C191" s="76"/>
      <c r="D191" s="25"/>
      <c r="E191" s="25"/>
      <c r="F191" s="27"/>
      <c r="G191" s="27"/>
      <c r="H191" s="25"/>
      <c r="I191" s="25"/>
      <c r="J191" s="25"/>
      <c r="K191" s="25"/>
      <c r="L191" s="25"/>
      <c r="M191" s="25"/>
      <c r="N191" s="25"/>
      <c r="O191" s="25"/>
      <c r="P191" s="25"/>
      <c r="Q191" s="25"/>
      <c r="R191" s="25"/>
      <c r="S191" s="57"/>
      <c r="T191" s="57"/>
      <c r="U191" s="57"/>
      <c r="V191" s="57"/>
      <c r="W191" s="57"/>
      <c r="X191" s="57"/>
      <c r="Y191" s="57"/>
      <c r="Z191" s="57"/>
      <c r="AA191" s="57"/>
      <c r="AB191" s="57"/>
      <c r="AC191" s="57"/>
      <c r="AD191" s="57"/>
      <c r="AE191" s="57"/>
      <c r="AF191" s="57"/>
      <c r="AG191" s="57"/>
      <c r="AH191" s="57"/>
      <c r="AI191" s="57"/>
      <c r="AJ191" s="57"/>
      <c r="AK191" s="57"/>
      <c r="AL191" s="57"/>
      <c r="AM191" s="57"/>
      <c r="AN191" s="57"/>
      <c r="AO191" s="57"/>
      <c r="AP191" s="57"/>
      <c r="AQ191" s="57"/>
      <c r="AR191" s="57"/>
      <c r="AS191" s="57"/>
      <c r="AT191" s="57"/>
      <c r="AU191" s="57"/>
      <c r="AV191" s="57"/>
      <c r="AW191" s="57"/>
      <c r="AX191" s="57"/>
      <c r="AY191" s="57"/>
      <c r="AZ191" s="57"/>
      <c r="BA191" s="57"/>
      <c r="BB191" s="57"/>
    </row>
    <row r="192" spans="1:54" s="62" customFormat="1" ht="21.6" x14ac:dyDescent="0.25">
      <c r="A192" s="61"/>
      <c r="B192" s="61"/>
      <c r="C192" s="76"/>
      <c r="D192" s="25"/>
      <c r="E192" s="25"/>
      <c r="F192" s="27"/>
      <c r="G192" s="27"/>
      <c r="H192" s="25"/>
      <c r="I192" s="25"/>
      <c r="J192" s="25"/>
      <c r="K192" s="25"/>
      <c r="L192" s="25"/>
      <c r="M192" s="25"/>
      <c r="N192" s="25"/>
      <c r="O192" s="25"/>
      <c r="P192" s="25"/>
      <c r="Q192" s="25"/>
      <c r="R192" s="25"/>
      <c r="S192" s="57"/>
      <c r="T192" s="57"/>
      <c r="U192" s="57"/>
      <c r="V192" s="57"/>
      <c r="W192" s="57"/>
      <c r="X192" s="57"/>
      <c r="Y192" s="57"/>
      <c r="Z192" s="57"/>
      <c r="AA192" s="57"/>
      <c r="AB192" s="57"/>
      <c r="AC192" s="57"/>
      <c r="AD192" s="57"/>
      <c r="AE192" s="57"/>
      <c r="AF192" s="57"/>
      <c r="AG192" s="57"/>
      <c r="AH192" s="57"/>
      <c r="AI192" s="57"/>
      <c r="AJ192" s="57"/>
      <c r="AK192" s="57"/>
      <c r="AL192" s="57"/>
      <c r="AM192" s="57"/>
      <c r="AN192" s="57"/>
      <c r="AO192" s="57"/>
      <c r="AP192" s="57"/>
      <c r="AQ192" s="57"/>
      <c r="AR192" s="57"/>
      <c r="AS192" s="57"/>
      <c r="AT192" s="57"/>
      <c r="AU192" s="57"/>
      <c r="AV192" s="57"/>
      <c r="AW192" s="57"/>
      <c r="AX192" s="57"/>
      <c r="AY192" s="57"/>
      <c r="AZ192" s="57"/>
      <c r="BA192" s="57"/>
      <c r="BB192" s="57"/>
    </row>
    <row r="193" spans="1:54" s="62" customFormat="1" ht="21.6" x14ac:dyDescent="0.25">
      <c r="A193" s="61"/>
      <c r="B193" s="61"/>
      <c r="C193" s="76"/>
      <c r="D193" s="25"/>
      <c r="E193" s="25"/>
      <c r="F193" s="27"/>
      <c r="G193" s="27"/>
      <c r="H193" s="25"/>
      <c r="I193" s="25"/>
      <c r="J193" s="25"/>
      <c r="K193" s="25"/>
      <c r="L193" s="25"/>
      <c r="M193" s="25"/>
      <c r="N193" s="25"/>
      <c r="O193" s="25"/>
      <c r="P193" s="25"/>
      <c r="Q193" s="25"/>
      <c r="R193" s="25"/>
      <c r="S193" s="57"/>
      <c r="T193" s="57"/>
      <c r="U193" s="57"/>
      <c r="V193" s="57"/>
      <c r="W193" s="57"/>
      <c r="X193" s="57"/>
      <c r="Y193" s="57"/>
      <c r="Z193" s="57"/>
      <c r="AA193" s="57"/>
      <c r="AB193" s="57"/>
      <c r="AC193" s="57"/>
      <c r="AD193" s="57"/>
      <c r="AE193" s="57"/>
      <c r="AF193" s="57"/>
      <c r="AG193" s="57"/>
      <c r="AH193" s="57"/>
      <c r="AI193" s="57"/>
      <c r="AJ193" s="57"/>
      <c r="AK193" s="57"/>
      <c r="AL193" s="57"/>
      <c r="AM193" s="57"/>
      <c r="AN193" s="57"/>
      <c r="AO193" s="57"/>
      <c r="AP193" s="57"/>
      <c r="AQ193" s="57"/>
      <c r="AR193" s="57"/>
      <c r="AS193" s="57"/>
      <c r="AT193" s="57"/>
      <c r="AU193" s="57"/>
      <c r="AV193" s="57"/>
      <c r="AW193" s="57"/>
      <c r="AX193" s="57"/>
      <c r="AY193" s="57"/>
      <c r="AZ193" s="57"/>
      <c r="BA193" s="57"/>
      <c r="BB193" s="57"/>
    </row>
    <row r="194" spans="1:54" s="62" customFormat="1" ht="21.6" x14ac:dyDescent="0.25">
      <c r="A194" s="61"/>
      <c r="B194" s="61"/>
      <c r="C194" s="76"/>
      <c r="D194" s="25"/>
      <c r="E194" s="25"/>
      <c r="F194" s="27"/>
      <c r="G194" s="27"/>
      <c r="H194" s="25"/>
      <c r="I194" s="25"/>
      <c r="J194" s="25"/>
      <c r="K194" s="25"/>
      <c r="L194" s="25"/>
      <c r="M194" s="25"/>
      <c r="N194" s="25"/>
      <c r="O194" s="25"/>
      <c r="P194" s="25"/>
      <c r="Q194" s="25"/>
      <c r="R194" s="25"/>
      <c r="S194" s="57"/>
      <c r="T194" s="57"/>
      <c r="U194" s="57"/>
      <c r="V194" s="57"/>
      <c r="W194" s="57"/>
      <c r="X194" s="57"/>
      <c r="Y194" s="57"/>
      <c r="Z194" s="57"/>
      <c r="AA194" s="57"/>
      <c r="AB194" s="57"/>
      <c r="AC194" s="57"/>
      <c r="AD194" s="57"/>
      <c r="AE194" s="57"/>
      <c r="AF194" s="57"/>
      <c r="AG194" s="57"/>
      <c r="AH194" s="57"/>
      <c r="AI194" s="57"/>
      <c r="AJ194" s="57"/>
      <c r="AK194" s="57"/>
      <c r="AL194" s="57"/>
      <c r="AM194" s="57"/>
      <c r="AN194" s="57"/>
      <c r="AO194" s="57"/>
      <c r="AP194" s="57"/>
      <c r="AQ194" s="57"/>
      <c r="AR194" s="57"/>
      <c r="AS194" s="57"/>
      <c r="AT194" s="57"/>
      <c r="AU194" s="57"/>
      <c r="AV194" s="57"/>
      <c r="AW194" s="57"/>
      <c r="AX194" s="57"/>
      <c r="AY194" s="57"/>
      <c r="AZ194" s="57"/>
      <c r="BA194" s="57"/>
      <c r="BB194" s="57"/>
    </row>
    <row r="195" spans="1:54" s="62" customFormat="1" ht="21.6" x14ac:dyDescent="0.25">
      <c r="A195" s="61"/>
      <c r="B195" s="61"/>
      <c r="C195" s="76"/>
      <c r="D195" s="25"/>
      <c r="E195" s="25"/>
      <c r="F195" s="27"/>
      <c r="G195" s="27"/>
      <c r="H195" s="25"/>
      <c r="I195" s="25"/>
      <c r="J195" s="25"/>
      <c r="K195" s="25"/>
      <c r="L195" s="25"/>
      <c r="M195" s="25"/>
      <c r="N195" s="25"/>
      <c r="O195" s="25"/>
      <c r="P195" s="25"/>
      <c r="Q195" s="25"/>
      <c r="R195" s="25"/>
      <c r="S195" s="57"/>
      <c r="T195" s="57"/>
      <c r="U195" s="57"/>
      <c r="V195" s="57"/>
      <c r="W195" s="57"/>
      <c r="X195" s="57"/>
      <c r="Y195" s="57"/>
      <c r="Z195" s="57"/>
      <c r="AA195" s="57"/>
      <c r="AB195" s="57"/>
      <c r="AC195" s="57"/>
      <c r="AD195" s="57"/>
      <c r="AE195" s="57"/>
      <c r="AF195" s="57"/>
      <c r="AG195" s="57"/>
      <c r="AH195" s="57"/>
      <c r="AI195" s="57"/>
      <c r="AJ195" s="57"/>
      <c r="AK195" s="57"/>
      <c r="AL195" s="57"/>
      <c r="AM195" s="57"/>
      <c r="AN195" s="57"/>
      <c r="AO195" s="57"/>
      <c r="AP195" s="57"/>
      <c r="AQ195" s="57"/>
      <c r="AR195" s="57"/>
      <c r="AS195" s="57"/>
      <c r="AT195" s="57"/>
      <c r="AU195" s="57"/>
      <c r="AV195" s="57"/>
      <c r="AW195" s="57"/>
      <c r="AX195" s="57"/>
      <c r="AY195" s="57"/>
      <c r="AZ195" s="57"/>
      <c r="BA195" s="57"/>
      <c r="BB195" s="57"/>
    </row>
    <row r="196" spans="1:54" s="62" customFormat="1" ht="21.6" x14ac:dyDescent="0.25">
      <c r="A196" s="61"/>
      <c r="B196" s="61"/>
      <c r="C196" s="76"/>
      <c r="D196" s="25"/>
      <c r="E196" s="25"/>
      <c r="F196" s="27"/>
      <c r="G196" s="27"/>
      <c r="H196" s="25"/>
      <c r="I196" s="25"/>
      <c r="J196" s="25"/>
      <c r="K196" s="25"/>
      <c r="L196" s="25"/>
      <c r="M196" s="25"/>
      <c r="N196" s="25"/>
      <c r="O196" s="25"/>
      <c r="P196" s="25"/>
      <c r="Q196" s="25"/>
      <c r="R196" s="25"/>
      <c r="S196" s="57"/>
      <c r="T196" s="57"/>
      <c r="U196" s="57"/>
      <c r="V196" s="57"/>
      <c r="W196" s="57"/>
      <c r="X196" s="57"/>
      <c r="Y196" s="57"/>
      <c r="Z196" s="57"/>
      <c r="AA196" s="57"/>
      <c r="AB196" s="57"/>
      <c r="AC196" s="57"/>
      <c r="AD196" s="57"/>
      <c r="AE196" s="57"/>
      <c r="AF196" s="57"/>
      <c r="AG196" s="57"/>
      <c r="AH196" s="57"/>
      <c r="AI196" s="57"/>
      <c r="AJ196" s="57"/>
      <c r="AK196" s="57"/>
      <c r="AL196" s="57"/>
      <c r="AM196" s="57"/>
      <c r="AN196" s="57"/>
      <c r="AO196" s="57"/>
      <c r="AP196" s="57"/>
      <c r="AQ196" s="57"/>
      <c r="AR196" s="57"/>
      <c r="AS196" s="57"/>
      <c r="AT196" s="57"/>
      <c r="AU196" s="57"/>
      <c r="AV196" s="57"/>
      <c r="AW196" s="57"/>
      <c r="AX196" s="57"/>
      <c r="AY196" s="57"/>
      <c r="AZ196" s="57"/>
      <c r="BA196" s="57"/>
      <c r="BB196" s="57"/>
    </row>
    <row r="197" spans="1:54" s="62" customFormat="1" ht="21.6" x14ac:dyDescent="0.25">
      <c r="C197" s="77"/>
      <c r="D197" s="57"/>
      <c r="E197" s="57"/>
      <c r="F197" s="63"/>
      <c r="G197" s="63"/>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c r="AE197" s="57"/>
      <c r="AF197" s="57"/>
      <c r="AG197" s="57"/>
      <c r="AH197" s="57"/>
      <c r="AI197" s="57"/>
      <c r="AJ197" s="57"/>
      <c r="AK197" s="57"/>
      <c r="AL197" s="57"/>
      <c r="AM197" s="57"/>
      <c r="AN197" s="57"/>
      <c r="AO197" s="57"/>
      <c r="AP197" s="57"/>
      <c r="AQ197" s="57"/>
      <c r="AR197" s="57"/>
      <c r="AS197" s="57"/>
      <c r="AT197" s="57"/>
      <c r="AU197" s="57"/>
      <c r="AV197" s="57"/>
      <c r="AW197" s="57"/>
      <c r="AX197" s="57"/>
      <c r="AY197" s="57"/>
      <c r="AZ197" s="57"/>
      <c r="BA197" s="57"/>
      <c r="BB197" s="57"/>
    </row>
    <row r="198" spans="1:54" s="62" customFormat="1" ht="21.6" x14ac:dyDescent="0.25">
      <c r="C198" s="77"/>
      <c r="D198" s="57"/>
      <c r="E198" s="57"/>
      <c r="F198" s="63"/>
      <c r="G198" s="63"/>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c r="AE198" s="57"/>
      <c r="AF198" s="57"/>
      <c r="AG198" s="57"/>
      <c r="AH198" s="57"/>
      <c r="AI198" s="57"/>
      <c r="AJ198" s="57"/>
      <c r="AK198" s="57"/>
      <c r="AL198" s="57"/>
      <c r="AM198" s="57"/>
      <c r="AN198" s="57"/>
      <c r="AO198" s="57"/>
      <c r="AP198" s="57"/>
      <c r="AQ198" s="57"/>
      <c r="AR198" s="57"/>
      <c r="AS198" s="57"/>
      <c r="AT198" s="57"/>
      <c r="AU198" s="57"/>
      <c r="AV198" s="57"/>
      <c r="AW198" s="57"/>
      <c r="AX198" s="57"/>
      <c r="AY198" s="57"/>
      <c r="AZ198" s="57"/>
      <c r="BA198" s="57"/>
      <c r="BB198" s="57"/>
    </row>
    <row r="199" spans="1:54" s="62" customFormat="1" ht="21.6" x14ac:dyDescent="0.25">
      <c r="C199" s="77"/>
      <c r="D199" s="57"/>
      <c r="E199" s="57"/>
      <c r="F199" s="63"/>
      <c r="G199" s="63"/>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c r="AE199" s="57"/>
      <c r="AF199" s="57"/>
      <c r="AG199" s="57"/>
      <c r="AH199" s="57"/>
      <c r="AI199" s="57"/>
      <c r="AJ199" s="57"/>
      <c r="AK199" s="57"/>
      <c r="AL199" s="57"/>
      <c r="AM199" s="57"/>
      <c r="AN199" s="57"/>
      <c r="AO199" s="57"/>
      <c r="AP199" s="57"/>
      <c r="AQ199" s="57"/>
      <c r="AR199" s="57"/>
      <c r="AS199" s="57"/>
      <c r="AT199" s="57"/>
      <c r="AU199" s="57"/>
      <c r="AV199" s="57"/>
      <c r="AW199" s="57"/>
      <c r="AX199" s="57"/>
      <c r="AY199" s="57"/>
      <c r="AZ199" s="57"/>
      <c r="BA199" s="57"/>
      <c r="BB199" s="57"/>
    </row>
    <row r="200" spans="1:54" s="62" customFormat="1" ht="21.6" x14ac:dyDescent="0.25">
      <c r="C200" s="77"/>
      <c r="D200" s="57"/>
      <c r="E200" s="57"/>
      <c r="F200" s="63"/>
      <c r="G200" s="63"/>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c r="AE200" s="57"/>
      <c r="AF200" s="57"/>
      <c r="AG200" s="57"/>
      <c r="AH200" s="57"/>
      <c r="AI200" s="57"/>
      <c r="AJ200" s="57"/>
      <c r="AK200" s="57"/>
      <c r="AL200" s="57"/>
      <c r="AM200" s="57"/>
      <c r="AN200" s="57"/>
      <c r="AO200" s="57"/>
      <c r="AP200" s="57"/>
      <c r="AQ200" s="57"/>
      <c r="AR200" s="57"/>
      <c r="AS200" s="57"/>
      <c r="AT200" s="57"/>
      <c r="AU200" s="57"/>
      <c r="AV200" s="57"/>
      <c r="AW200" s="57"/>
      <c r="AX200" s="57"/>
      <c r="AY200" s="57"/>
      <c r="AZ200" s="57"/>
      <c r="BA200" s="57"/>
      <c r="BB200" s="57"/>
    </row>
    <row r="201" spans="1:54" s="62" customFormat="1" ht="21.6" x14ac:dyDescent="0.25">
      <c r="C201" s="77"/>
      <c r="D201" s="57"/>
      <c r="E201" s="57"/>
      <c r="F201" s="63"/>
      <c r="G201" s="63"/>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c r="AE201" s="57"/>
      <c r="AF201" s="57"/>
      <c r="AG201" s="57"/>
      <c r="AH201" s="57"/>
      <c r="AI201" s="57"/>
      <c r="AJ201" s="57"/>
      <c r="AK201" s="57"/>
      <c r="AL201" s="57"/>
      <c r="AM201" s="57"/>
      <c r="AN201" s="57"/>
      <c r="AO201" s="57"/>
      <c r="AP201" s="57"/>
      <c r="AQ201" s="57"/>
      <c r="AR201" s="57"/>
      <c r="AS201" s="57"/>
      <c r="AT201" s="57"/>
      <c r="AU201" s="57"/>
      <c r="AV201" s="57"/>
      <c r="AW201" s="57"/>
      <c r="AX201" s="57"/>
      <c r="AY201" s="57"/>
      <c r="AZ201" s="57"/>
      <c r="BA201" s="57"/>
      <c r="BB201" s="57"/>
    </row>
    <row r="202" spans="1:54" s="62" customFormat="1" ht="21.6" x14ac:dyDescent="0.25">
      <c r="C202" s="77"/>
      <c r="D202" s="57"/>
      <c r="E202" s="57"/>
      <c r="F202" s="63"/>
      <c r="G202" s="63"/>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c r="AE202" s="57"/>
      <c r="AF202" s="57"/>
      <c r="AG202" s="57"/>
      <c r="AH202" s="57"/>
      <c r="AI202" s="57"/>
      <c r="AJ202" s="57"/>
      <c r="AK202" s="57"/>
      <c r="AL202" s="57"/>
      <c r="AM202" s="57"/>
      <c r="AN202" s="57"/>
      <c r="AO202" s="57"/>
      <c r="AP202" s="57"/>
      <c r="AQ202" s="57"/>
      <c r="AR202" s="57"/>
      <c r="AS202" s="57"/>
      <c r="AT202" s="57"/>
      <c r="AU202" s="57"/>
      <c r="AV202" s="57"/>
      <c r="AW202" s="57"/>
      <c r="AX202" s="57"/>
      <c r="AY202" s="57"/>
      <c r="AZ202" s="57"/>
      <c r="BA202" s="57"/>
      <c r="BB202" s="57"/>
    </row>
    <row r="203" spans="1:54" s="62" customFormat="1" ht="21.6" x14ac:dyDescent="0.25">
      <c r="C203" s="77"/>
      <c r="D203" s="57"/>
      <c r="E203" s="57"/>
      <c r="F203" s="63"/>
      <c r="G203" s="63"/>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c r="AE203" s="57"/>
      <c r="AF203" s="57"/>
      <c r="AG203" s="57"/>
      <c r="AH203" s="57"/>
      <c r="AI203" s="57"/>
      <c r="AJ203" s="57"/>
      <c r="AK203" s="57"/>
      <c r="AL203" s="57"/>
      <c r="AM203" s="57"/>
      <c r="AN203" s="57"/>
      <c r="AO203" s="57"/>
      <c r="AP203" s="57"/>
      <c r="AQ203" s="57"/>
      <c r="AR203" s="57"/>
      <c r="AS203" s="57"/>
      <c r="AT203" s="57"/>
      <c r="AU203" s="57"/>
      <c r="AV203" s="57"/>
      <c r="AW203" s="57"/>
      <c r="AX203" s="57"/>
      <c r="AY203" s="57"/>
      <c r="AZ203" s="57"/>
      <c r="BA203" s="57"/>
      <c r="BB203" s="57"/>
    </row>
    <row r="204" spans="1:54" s="62" customFormat="1" ht="21.6" x14ac:dyDescent="0.25">
      <c r="C204" s="77"/>
      <c r="D204" s="57"/>
      <c r="E204" s="57"/>
      <c r="F204" s="63"/>
      <c r="G204" s="63"/>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c r="AE204" s="57"/>
      <c r="AF204" s="57"/>
      <c r="AG204" s="57"/>
      <c r="AH204" s="57"/>
      <c r="AI204" s="57"/>
      <c r="AJ204" s="57"/>
      <c r="AK204" s="57"/>
      <c r="AL204" s="57"/>
      <c r="AM204" s="57"/>
      <c r="AN204" s="57"/>
      <c r="AO204" s="57"/>
      <c r="AP204" s="57"/>
      <c r="AQ204" s="57"/>
      <c r="AR204" s="57"/>
      <c r="AS204" s="57"/>
      <c r="AT204" s="57"/>
      <c r="AU204" s="57"/>
      <c r="AV204" s="57"/>
      <c r="AW204" s="57"/>
      <c r="AX204" s="57"/>
      <c r="AY204" s="57"/>
      <c r="AZ204" s="57"/>
      <c r="BA204" s="57"/>
      <c r="BB204" s="57"/>
    </row>
    <row r="205" spans="1:54" s="62" customFormat="1" ht="21.6" x14ac:dyDescent="0.25">
      <c r="C205" s="77"/>
      <c r="D205" s="57"/>
      <c r="E205" s="57"/>
      <c r="F205" s="63"/>
      <c r="G205" s="57"/>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c r="AE205" s="57"/>
      <c r="AF205" s="57"/>
      <c r="AG205" s="57"/>
      <c r="AH205" s="57"/>
      <c r="AI205" s="57"/>
      <c r="AJ205" s="57"/>
      <c r="AK205" s="57"/>
      <c r="AL205" s="57"/>
      <c r="AM205" s="57"/>
      <c r="AN205" s="57"/>
      <c r="AO205" s="57"/>
      <c r="AP205" s="57"/>
      <c r="AQ205" s="57"/>
      <c r="AR205" s="57"/>
      <c r="AS205" s="57"/>
      <c r="AT205" s="57"/>
      <c r="AU205" s="57"/>
      <c r="AV205" s="57"/>
      <c r="AW205" s="57"/>
      <c r="AX205" s="57"/>
      <c r="AY205" s="57"/>
      <c r="AZ205" s="57"/>
      <c r="BA205" s="57"/>
      <c r="BB205" s="57"/>
    </row>
    <row r="206" spans="1:54" s="62" customFormat="1" ht="21.6" x14ac:dyDescent="0.25">
      <c r="C206" s="77"/>
      <c r="D206" s="57"/>
      <c r="E206" s="57"/>
      <c r="F206" s="63"/>
      <c r="G206" s="57"/>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c r="AE206" s="57"/>
      <c r="AF206" s="57"/>
      <c r="AG206" s="57"/>
      <c r="AH206" s="57"/>
      <c r="AI206" s="57"/>
      <c r="AJ206" s="57"/>
      <c r="AK206" s="57"/>
      <c r="AL206" s="57"/>
      <c r="AM206" s="57"/>
      <c r="AN206" s="57"/>
      <c r="AO206" s="57"/>
      <c r="AP206" s="57"/>
      <c r="AQ206" s="57"/>
      <c r="AR206" s="57"/>
      <c r="AS206" s="57"/>
      <c r="AT206" s="57"/>
      <c r="AU206" s="57"/>
      <c r="AV206" s="57"/>
      <c r="AW206" s="57"/>
      <c r="AX206" s="57"/>
      <c r="AY206" s="57"/>
      <c r="AZ206" s="57"/>
      <c r="BA206" s="57"/>
      <c r="BB206" s="57"/>
    </row>
    <row r="207" spans="1:54" s="62" customFormat="1" ht="21.6" x14ac:dyDescent="0.25">
      <c r="C207" s="77"/>
      <c r="D207" s="57"/>
      <c r="E207" s="57"/>
      <c r="F207" s="63"/>
      <c r="G207" s="57"/>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c r="AE207" s="57"/>
      <c r="AF207" s="57"/>
      <c r="AG207" s="57"/>
      <c r="AH207" s="57"/>
      <c r="AI207" s="57"/>
      <c r="AJ207" s="57"/>
      <c r="AK207" s="57"/>
      <c r="AL207" s="57"/>
      <c r="AM207" s="57"/>
      <c r="AN207" s="57"/>
      <c r="AO207" s="57"/>
      <c r="AP207" s="57"/>
      <c r="AQ207" s="57"/>
      <c r="AR207" s="57"/>
      <c r="AS207" s="57"/>
      <c r="AT207" s="57"/>
      <c r="AU207" s="57"/>
      <c r="AV207" s="57"/>
      <c r="AW207" s="57"/>
      <c r="AX207" s="57"/>
      <c r="AY207" s="57"/>
      <c r="AZ207" s="57"/>
      <c r="BA207" s="57"/>
      <c r="BB207" s="57"/>
    </row>
    <row r="208" spans="1:54" s="62" customFormat="1" ht="21.6" x14ac:dyDescent="0.25">
      <c r="C208" s="77"/>
      <c r="D208" s="57"/>
      <c r="E208" s="57"/>
      <c r="F208" s="63"/>
      <c r="G208" s="57"/>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c r="AE208" s="57"/>
      <c r="AF208" s="57"/>
      <c r="AG208" s="57"/>
      <c r="AH208" s="57"/>
      <c r="AI208" s="57"/>
      <c r="AJ208" s="57"/>
      <c r="AK208" s="57"/>
      <c r="AL208" s="57"/>
      <c r="AM208" s="57"/>
      <c r="AN208" s="57"/>
      <c r="AO208" s="57"/>
      <c r="AP208" s="57"/>
      <c r="AQ208" s="57"/>
      <c r="AR208" s="57"/>
      <c r="AS208" s="57"/>
      <c r="AT208" s="57"/>
      <c r="AU208" s="57"/>
      <c r="AV208" s="57"/>
      <c r="AW208" s="57"/>
      <c r="AX208" s="57"/>
      <c r="AY208" s="57"/>
      <c r="AZ208" s="57"/>
      <c r="BA208" s="57"/>
      <c r="BB208" s="57"/>
    </row>
    <row r="209" spans="3:54" s="62" customFormat="1" ht="21.6" x14ac:dyDescent="0.25">
      <c r="C209" s="77"/>
      <c r="D209" s="57"/>
      <c r="E209" s="57"/>
      <c r="F209" s="63"/>
      <c r="G209" s="57"/>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c r="AE209" s="57"/>
      <c r="AF209" s="57"/>
      <c r="AG209" s="57"/>
      <c r="AH209" s="57"/>
      <c r="AI209" s="57"/>
      <c r="AJ209" s="57"/>
      <c r="AK209" s="57"/>
      <c r="AL209" s="57"/>
      <c r="AM209" s="57"/>
      <c r="AN209" s="57"/>
      <c r="AO209" s="57"/>
      <c r="AP209" s="57"/>
      <c r="AQ209" s="57"/>
      <c r="AR209" s="57"/>
      <c r="AS209" s="57"/>
      <c r="AT209" s="57"/>
      <c r="AU209" s="57"/>
      <c r="AV209" s="57"/>
      <c r="AW209" s="57"/>
      <c r="AX209" s="57"/>
      <c r="AY209" s="57"/>
      <c r="AZ209" s="57"/>
      <c r="BA209" s="57"/>
      <c r="BB209" s="57"/>
    </row>
    <row r="210" spans="3:54" s="62" customFormat="1" ht="21.6" x14ac:dyDescent="0.25">
      <c r="C210" s="77"/>
      <c r="D210" s="57"/>
      <c r="E210" s="57"/>
      <c r="F210" s="63"/>
      <c r="G210" s="57"/>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c r="AE210" s="57"/>
      <c r="AF210" s="57"/>
      <c r="AG210" s="57"/>
      <c r="AH210" s="57"/>
      <c r="AI210" s="57"/>
      <c r="AJ210" s="57"/>
      <c r="AK210" s="57"/>
      <c r="AL210" s="57"/>
      <c r="AM210" s="57"/>
      <c r="AN210" s="57"/>
      <c r="AO210" s="57"/>
      <c r="AP210" s="57"/>
      <c r="AQ210" s="57"/>
      <c r="AR210" s="57"/>
      <c r="AS210" s="57"/>
      <c r="AT210" s="57"/>
      <c r="AU210" s="57"/>
      <c r="AV210" s="57"/>
      <c r="AW210" s="57"/>
      <c r="AX210" s="57"/>
      <c r="AY210" s="57"/>
      <c r="AZ210" s="57"/>
      <c r="BA210" s="57"/>
      <c r="BB210" s="57"/>
    </row>
    <row r="211" spans="3:54" s="62" customFormat="1" ht="21.6" x14ac:dyDescent="0.25">
      <c r="C211" s="77"/>
      <c r="D211" s="57"/>
      <c r="E211" s="57"/>
      <c r="F211" s="63"/>
      <c r="G211" s="57"/>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c r="AE211" s="57"/>
      <c r="AF211" s="57"/>
      <c r="AG211" s="57"/>
      <c r="AH211" s="57"/>
      <c r="AI211" s="57"/>
      <c r="AJ211" s="57"/>
      <c r="AK211" s="57"/>
      <c r="AL211" s="57"/>
      <c r="AM211" s="57"/>
      <c r="AN211" s="57"/>
      <c r="AO211" s="57"/>
      <c r="AP211" s="57"/>
      <c r="AQ211" s="57"/>
      <c r="AR211" s="57"/>
      <c r="AS211" s="57"/>
      <c r="AT211" s="57"/>
      <c r="AU211" s="57"/>
      <c r="AV211" s="57"/>
      <c r="AW211" s="57"/>
      <c r="AX211" s="57"/>
      <c r="AY211" s="57"/>
      <c r="AZ211" s="57"/>
      <c r="BA211" s="57"/>
      <c r="BB211" s="57"/>
    </row>
    <row r="212" spans="3:54" s="62" customFormat="1" ht="21.6" x14ac:dyDescent="0.25">
      <c r="C212" s="77"/>
      <c r="D212" s="57"/>
      <c r="E212" s="57"/>
      <c r="F212" s="63"/>
      <c r="G212" s="57"/>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c r="AE212" s="57"/>
      <c r="AF212" s="57"/>
      <c r="AG212" s="57"/>
      <c r="AH212" s="57"/>
      <c r="AI212" s="57"/>
      <c r="AJ212" s="57"/>
      <c r="AK212" s="57"/>
      <c r="AL212" s="57"/>
      <c r="AM212" s="57"/>
      <c r="AN212" s="57"/>
      <c r="AO212" s="57"/>
      <c r="AP212" s="57"/>
      <c r="AQ212" s="57"/>
      <c r="AR212" s="57"/>
      <c r="AS212" s="57"/>
      <c r="AT212" s="57"/>
      <c r="AU212" s="57"/>
      <c r="AV212" s="57"/>
      <c r="AW212" s="57"/>
      <c r="AX212" s="57"/>
      <c r="AY212" s="57"/>
      <c r="AZ212" s="57"/>
      <c r="BA212" s="57"/>
      <c r="BB212" s="57"/>
    </row>
    <row r="213" spans="3:54" s="62" customFormat="1" ht="21.6" x14ac:dyDescent="0.25">
      <c r="C213" s="77"/>
      <c r="D213" s="57"/>
      <c r="E213" s="57"/>
      <c r="F213" s="63"/>
      <c r="G213" s="57"/>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c r="AE213" s="57"/>
      <c r="AF213" s="57"/>
      <c r="AG213" s="57"/>
      <c r="AH213" s="57"/>
      <c r="AI213" s="57"/>
      <c r="AJ213" s="57"/>
      <c r="AK213" s="57"/>
      <c r="AL213" s="57"/>
      <c r="AM213" s="57"/>
      <c r="AN213" s="57"/>
      <c r="AO213" s="57"/>
      <c r="AP213" s="57"/>
      <c r="AQ213" s="57"/>
      <c r="AR213" s="57"/>
      <c r="AS213" s="57"/>
      <c r="AT213" s="57"/>
      <c r="AU213" s="57"/>
      <c r="AV213" s="57"/>
      <c r="AW213" s="57"/>
      <c r="AX213" s="57"/>
      <c r="AY213" s="57"/>
      <c r="AZ213" s="57"/>
      <c r="BA213" s="57"/>
      <c r="BB213" s="57"/>
    </row>
    <row r="214" spans="3:54" s="62" customFormat="1" ht="21.6" x14ac:dyDescent="0.25">
      <c r="C214" s="77"/>
      <c r="D214" s="57"/>
      <c r="E214" s="57"/>
      <c r="F214" s="63"/>
      <c r="G214" s="57"/>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c r="AE214" s="57"/>
      <c r="AF214" s="57"/>
      <c r="AG214" s="57"/>
      <c r="AH214" s="57"/>
      <c r="AI214" s="57"/>
      <c r="AJ214" s="57"/>
      <c r="AK214" s="57"/>
      <c r="AL214" s="57"/>
      <c r="AM214" s="57"/>
      <c r="AN214" s="57"/>
      <c r="AO214" s="57"/>
      <c r="AP214" s="57"/>
      <c r="AQ214" s="57"/>
      <c r="AR214" s="57"/>
      <c r="AS214" s="57"/>
      <c r="AT214" s="57"/>
      <c r="AU214" s="57"/>
      <c r="AV214" s="57"/>
      <c r="AW214" s="57"/>
      <c r="AX214" s="57"/>
      <c r="AY214" s="57"/>
      <c r="AZ214" s="57"/>
      <c r="BA214" s="57"/>
      <c r="BB214" s="57"/>
    </row>
    <row r="215" spans="3:54" s="62" customFormat="1" ht="21.6" x14ac:dyDescent="0.25">
      <c r="C215" s="77"/>
      <c r="D215" s="57"/>
      <c r="E215" s="57"/>
      <c r="F215" s="63"/>
      <c r="G215" s="57"/>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c r="AE215" s="57"/>
      <c r="AF215" s="57"/>
      <c r="AG215" s="57"/>
      <c r="AH215" s="57"/>
      <c r="AI215" s="57"/>
      <c r="AJ215" s="57"/>
      <c r="AK215" s="57"/>
      <c r="AL215" s="57"/>
      <c r="AM215" s="57"/>
      <c r="AN215" s="57"/>
      <c r="AO215" s="57"/>
      <c r="AP215" s="57"/>
      <c r="AQ215" s="57"/>
      <c r="AR215" s="57"/>
      <c r="AS215" s="57"/>
      <c r="AT215" s="57"/>
      <c r="AU215" s="57"/>
      <c r="AV215" s="57"/>
      <c r="AW215" s="57"/>
      <c r="AX215" s="57"/>
      <c r="AY215" s="57"/>
      <c r="AZ215" s="57"/>
      <c r="BA215" s="57"/>
      <c r="BB215" s="57"/>
    </row>
    <row r="216" spans="3:54" s="62" customFormat="1" ht="21.6" x14ac:dyDescent="0.25">
      <c r="C216" s="77"/>
      <c r="D216" s="57"/>
      <c r="E216" s="57"/>
      <c r="F216" s="63"/>
      <c r="G216" s="57"/>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c r="AE216" s="57"/>
      <c r="AF216" s="57"/>
      <c r="AG216" s="57"/>
      <c r="AH216" s="57"/>
      <c r="AI216" s="57"/>
      <c r="AJ216" s="57"/>
      <c r="AK216" s="57"/>
      <c r="AL216" s="57"/>
      <c r="AM216" s="57"/>
      <c r="AN216" s="57"/>
      <c r="AO216" s="57"/>
      <c r="AP216" s="57"/>
      <c r="AQ216" s="57"/>
      <c r="AR216" s="57"/>
      <c r="AS216" s="57"/>
      <c r="AT216" s="57"/>
      <c r="AU216" s="57"/>
      <c r="AV216" s="57"/>
      <c r="AW216" s="57"/>
      <c r="AX216" s="57"/>
      <c r="AY216" s="57"/>
      <c r="AZ216" s="57"/>
      <c r="BA216" s="57"/>
      <c r="BB216" s="57"/>
    </row>
    <row r="217" spans="3:54" s="62" customFormat="1" ht="21.6" x14ac:dyDescent="0.25">
      <c r="C217" s="77"/>
      <c r="D217" s="57"/>
      <c r="E217" s="57"/>
      <c r="F217" s="63"/>
      <c r="G217" s="57"/>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c r="AE217" s="57"/>
      <c r="AF217" s="57"/>
      <c r="AG217" s="57"/>
      <c r="AH217" s="57"/>
      <c r="AI217" s="57"/>
      <c r="AJ217" s="57"/>
      <c r="AK217" s="57"/>
      <c r="AL217" s="57"/>
      <c r="AM217" s="57"/>
      <c r="AN217" s="57"/>
      <c r="AO217" s="57"/>
      <c r="AP217" s="57"/>
      <c r="AQ217" s="57"/>
      <c r="AR217" s="57"/>
      <c r="AS217" s="57"/>
      <c r="AT217" s="57"/>
      <c r="AU217" s="57"/>
      <c r="AV217" s="57"/>
      <c r="AW217" s="57"/>
      <c r="AX217" s="57"/>
      <c r="AY217" s="57"/>
      <c r="AZ217" s="57"/>
      <c r="BA217" s="57"/>
      <c r="BB217" s="57"/>
    </row>
    <row r="218" spans="3:54" s="62" customFormat="1" ht="21.6" x14ac:dyDescent="0.25">
      <c r="C218" s="77"/>
      <c r="D218" s="57"/>
      <c r="E218" s="57"/>
      <c r="F218" s="63"/>
      <c r="G218" s="57"/>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c r="AE218" s="57"/>
      <c r="AF218" s="57"/>
      <c r="AG218" s="57"/>
      <c r="AH218" s="57"/>
      <c r="AI218" s="57"/>
      <c r="AJ218" s="57"/>
      <c r="AK218" s="57"/>
      <c r="AL218" s="57"/>
      <c r="AM218" s="57"/>
      <c r="AN218" s="57"/>
      <c r="AO218" s="57"/>
      <c r="AP218" s="57"/>
      <c r="AQ218" s="57"/>
      <c r="AR218" s="57"/>
      <c r="AS218" s="57"/>
      <c r="AT218" s="57"/>
      <c r="AU218" s="57"/>
      <c r="AV218" s="57"/>
      <c r="AW218" s="57"/>
      <c r="AX218" s="57"/>
      <c r="AY218" s="57"/>
      <c r="AZ218" s="57"/>
      <c r="BA218" s="57"/>
      <c r="BB218" s="57"/>
    </row>
    <row r="219" spans="3:54" s="62" customFormat="1" ht="21.6" x14ac:dyDescent="0.25">
      <c r="C219" s="77"/>
      <c r="D219" s="57"/>
      <c r="E219" s="57"/>
      <c r="F219" s="63"/>
      <c r="G219" s="57"/>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c r="AE219" s="57"/>
      <c r="AF219" s="57"/>
      <c r="AG219" s="57"/>
      <c r="AH219" s="57"/>
      <c r="AI219" s="57"/>
      <c r="AJ219" s="57"/>
      <c r="AK219" s="57"/>
      <c r="AL219" s="57"/>
      <c r="AM219" s="57"/>
      <c r="AN219" s="57"/>
      <c r="AO219" s="57"/>
      <c r="AP219" s="57"/>
      <c r="AQ219" s="57"/>
      <c r="AR219" s="57"/>
      <c r="AS219" s="57"/>
      <c r="AT219" s="57"/>
      <c r="AU219" s="57"/>
      <c r="AV219" s="57"/>
      <c r="AW219" s="57"/>
      <c r="AX219" s="57"/>
      <c r="AY219" s="57"/>
      <c r="AZ219" s="57"/>
      <c r="BA219" s="57"/>
      <c r="BB219" s="57"/>
    </row>
    <row r="220" spans="3:54" s="62" customFormat="1" ht="21.6" x14ac:dyDescent="0.25">
      <c r="C220" s="77"/>
      <c r="D220" s="57"/>
      <c r="E220" s="57"/>
      <c r="F220" s="63"/>
      <c r="G220" s="57"/>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c r="AE220" s="57"/>
      <c r="AF220" s="57"/>
      <c r="AG220" s="57"/>
      <c r="AH220" s="57"/>
      <c r="AI220" s="57"/>
      <c r="AJ220" s="57"/>
      <c r="AK220" s="57"/>
      <c r="AL220" s="57"/>
      <c r="AM220" s="57"/>
      <c r="AN220" s="57"/>
      <c r="AO220" s="57"/>
      <c r="AP220" s="57"/>
      <c r="AQ220" s="57"/>
      <c r="AR220" s="57"/>
      <c r="AS220" s="57"/>
      <c r="AT220" s="57"/>
      <c r="AU220" s="57"/>
      <c r="AV220" s="57"/>
      <c r="AW220" s="57"/>
      <c r="AX220" s="57"/>
      <c r="AY220" s="57"/>
      <c r="AZ220" s="57"/>
      <c r="BA220" s="57"/>
      <c r="BB220" s="57"/>
    </row>
    <row r="221" spans="3:54" s="62" customFormat="1" ht="21.6" x14ac:dyDescent="0.25">
      <c r="C221" s="77"/>
      <c r="D221" s="57"/>
      <c r="E221" s="57"/>
      <c r="F221" s="63"/>
      <c r="G221" s="57"/>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c r="AE221" s="57"/>
      <c r="AF221" s="57"/>
      <c r="AG221" s="57"/>
      <c r="AH221" s="57"/>
      <c r="AI221" s="57"/>
      <c r="AJ221" s="57"/>
      <c r="AK221" s="57"/>
      <c r="AL221" s="57"/>
      <c r="AM221" s="57"/>
      <c r="AN221" s="57"/>
      <c r="AO221" s="57"/>
      <c r="AP221" s="57"/>
      <c r="AQ221" s="57"/>
      <c r="AR221" s="57"/>
      <c r="AS221" s="57"/>
      <c r="AT221" s="57"/>
      <c r="AU221" s="57"/>
      <c r="AV221" s="57"/>
      <c r="AW221" s="57"/>
      <c r="AX221" s="57"/>
      <c r="AY221" s="57"/>
      <c r="AZ221" s="57"/>
      <c r="BA221" s="57"/>
      <c r="BB221" s="57"/>
    </row>
    <row r="222" spans="3:54" s="18" customFormat="1" ht="21.6" x14ac:dyDescent="0.25">
      <c r="C222" s="77"/>
      <c r="D222" s="57"/>
      <c r="E222" s="57"/>
      <c r="F222" s="63"/>
      <c r="G222" s="57"/>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c r="AE222" s="57"/>
      <c r="AF222" s="57"/>
      <c r="AG222" s="57"/>
      <c r="AH222" s="57"/>
      <c r="AI222" s="57"/>
      <c r="AJ222" s="57"/>
      <c r="AK222" s="57"/>
      <c r="AL222" s="57"/>
      <c r="AM222" s="57"/>
      <c r="AN222" s="57"/>
      <c r="AO222" s="57"/>
      <c r="AP222" s="57"/>
      <c r="AQ222" s="57"/>
      <c r="AR222" s="57"/>
      <c r="AS222" s="57"/>
      <c r="AT222" s="57"/>
      <c r="AU222" s="57"/>
      <c r="AV222" s="57"/>
      <c r="AW222" s="57"/>
      <c r="AX222" s="57"/>
      <c r="AY222" s="57"/>
      <c r="AZ222" s="57"/>
      <c r="BA222" s="57"/>
      <c r="BB222" s="57"/>
    </row>
  </sheetData>
  <sheetProtection sheet="1" objects="1" scenarios="1"/>
  <protectedRanges>
    <protectedRange sqref="F8:F186" name="Range2"/>
    <protectedRange sqref="B2:B5" name="Range1"/>
  </protectedRanges>
  <dataConsolidate/>
  <mergeCells count="64">
    <mergeCell ref="C1:F1"/>
    <mergeCell ref="C140:C141"/>
    <mergeCell ref="E6:E187"/>
    <mergeCell ref="C6:D6"/>
    <mergeCell ref="C8:C9"/>
    <mergeCell ref="C11:C12"/>
    <mergeCell ref="C47:C48"/>
    <mergeCell ref="C14:C15"/>
    <mergeCell ref="C17:C18"/>
    <mergeCell ref="C20:C21"/>
    <mergeCell ref="C23:C24"/>
    <mergeCell ref="C26:C27"/>
    <mergeCell ref="C29:C30"/>
    <mergeCell ref="C32:C33"/>
    <mergeCell ref="C35:C36"/>
    <mergeCell ref="C38:C39"/>
    <mergeCell ref="C41:C42"/>
    <mergeCell ref="C44:C45"/>
    <mergeCell ref="C83:C84"/>
    <mergeCell ref="C50:C51"/>
    <mergeCell ref="C53:C54"/>
    <mergeCell ref="C56:C57"/>
    <mergeCell ref="C59:C60"/>
    <mergeCell ref="C62:C63"/>
    <mergeCell ref="C65:C66"/>
    <mergeCell ref="C68:C69"/>
    <mergeCell ref="C71:C72"/>
    <mergeCell ref="C74:C75"/>
    <mergeCell ref="C77:C78"/>
    <mergeCell ref="C80:C81"/>
    <mergeCell ref="C119:C120"/>
    <mergeCell ref="C86:C87"/>
    <mergeCell ref="C89:C90"/>
    <mergeCell ref="C92:C93"/>
    <mergeCell ref="C95:C96"/>
    <mergeCell ref="C98:C99"/>
    <mergeCell ref="C101:C102"/>
    <mergeCell ref="C104:C105"/>
    <mergeCell ref="C107:C108"/>
    <mergeCell ref="C110:C111"/>
    <mergeCell ref="C113:C114"/>
    <mergeCell ref="C116:C117"/>
    <mergeCell ref="C122:C123"/>
    <mergeCell ref="C125:C126"/>
    <mergeCell ref="C128:C129"/>
    <mergeCell ref="C131:C132"/>
    <mergeCell ref="C170:C171"/>
    <mergeCell ref="C134:C135"/>
    <mergeCell ref="C137:C138"/>
    <mergeCell ref="C143:C144"/>
    <mergeCell ref="C146:C147"/>
    <mergeCell ref="C149:C150"/>
    <mergeCell ref="C152:C153"/>
    <mergeCell ref="C188:F188"/>
    <mergeCell ref="C182:C183"/>
    <mergeCell ref="C185:C186"/>
    <mergeCell ref="C155:C156"/>
    <mergeCell ref="C158:C159"/>
    <mergeCell ref="C161:C162"/>
    <mergeCell ref="C164:C165"/>
    <mergeCell ref="C167:C168"/>
    <mergeCell ref="C173:C174"/>
    <mergeCell ref="C176:C177"/>
    <mergeCell ref="C179:C180"/>
  </mergeCells>
  <dataValidations xWindow="1304" yWindow="686" count="4">
    <dataValidation type="list" allowBlank="1" showInputMessage="1" showErrorMessage="1" sqref="F7:F187" xr:uid="{66308C07-A277-4614-90F9-AECFF1A3C6EB}">
      <formula1>"1"</formula1>
    </dataValidation>
    <dataValidation type="date" allowBlank="1" showInputMessage="1" showErrorMessage="1" sqref="B3" xr:uid="{1CC1A504-7A4C-46C2-8B45-22F9DE64D05D}">
      <formula1>7306</formula1>
      <formula2>43831</formula2>
    </dataValidation>
    <dataValidation type="list" showInputMessage="1" showErrorMessage="1" sqref="B5" xr:uid="{E60F511F-43CB-4FD4-B015-39545E029A83}">
      <formula1>"مرد, زن"</formula1>
    </dataValidation>
    <dataValidation type="list" showInputMessage="1" showErrorMessage="1" sqref="B4" xr:uid="{DBA92219-C3E4-414F-BCC1-AAE5DB9DD0A6}">
      <formula1>"7.1, 7.2, 8.1, 8.2, 9.1, 9.2, 10.1, 10.2, 11.1, 11.2, 12.1, 12.2"</formula1>
    </dataValidation>
  </dataValidations>
  <pageMargins left="0.5" right="0.5" top="0.5" bottom="0.5" header="0.2" footer="0.2"/>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30"/>
  <sheetViews>
    <sheetView rightToLeft="1" zoomScaleNormal="100" workbookViewId="0"/>
  </sheetViews>
  <sheetFormatPr defaultColWidth="9.109375" defaultRowHeight="21" x14ac:dyDescent="0.25"/>
  <cols>
    <col min="1" max="1" width="9.109375" style="2"/>
    <col min="2" max="2" width="12.6640625" style="1" customWidth="1"/>
    <col min="3" max="3" width="51.5546875" style="4" customWidth="1"/>
    <col min="4" max="4" width="16.21875" style="4" customWidth="1"/>
    <col min="5" max="5" width="9.109375" style="5" customWidth="1"/>
    <col min="6" max="6" width="20.21875" style="2" customWidth="1"/>
    <col min="7" max="7" width="3.77734375" style="2" customWidth="1"/>
    <col min="8" max="8" width="13.21875" style="2" customWidth="1"/>
    <col min="9" max="9" width="5.33203125" style="2" customWidth="1"/>
    <col min="10" max="16384" width="9.109375" style="2"/>
  </cols>
  <sheetData>
    <row r="1" spans="1:24" ht="21.6" thickBot="1" x14ac:dyDescent="0.3">
      <c r="A1" s="39"/>
      <c r="B1" s="30"/>
      <c r="C1" s="40"/>
      <c r="D1" s="40"/>
      <c r="E1" s="41"/>
      <c r="F1" s="39"/>
      <c r="G1" s="39"/>
      <c r="H1" s="39"/>
      <c r="I1" s="39"/>
      <c r="J1" s="39"/>
      <c r="K1" s="39"/>
      <c r="L1" s="39"/>
      <c r="M1" s="39"/>
      <c r="N1" s="39"/>
      <c r="O1" s="39"/>
      <c r="P1" s="39"/>
      <c r="Q1" s="39"/>
      <c r="R1" s="39"/>
      <c r="S1" s="39"/>
    </row>
    <row r="2" spans="1:24" s="1" customFormat="1" ht="21" customHeight="1" x14ac:dyDescent="0.25">
      <c r="A2" s="30"/>
      <c r="B2" s="110"/>
      <c r="C2" s="110"/>
      <c r="D2" s="110"/>
      <c r="E2" s="110"/>
      <c r="F2" s="110"/>
      <c r="G2" s="110"/>
      <c r="H2" s="110"/>
      <c r="I2" s="137" t="str">
        <f>_xlfn.XLOOKUP(D5, Types!$A:$A, Types!$C:$C, "Not found")</f>
        <v>ENFP,برونگرا,شهودی,احساسی،ادراکی</v>
      </c>
      <c r="J2" s="138"/>
      <c r="K2" s="138"/>
      <c r="L2" s="138"/>
      <c r="M2" s="138"/>
      <c r="N2" s="138"/>
      <c r="O2" s="139"/>
      <c r="P2" s="30"/>
      <c r="Q2" s="30"/>
      <c r="R2" s="30"/>
      <c r="S2" s="30"/>
    </row>
    <row r="3" spans="1:24" s="1" customFormat="1" ht="21" customHeight="1" x14ac:dyDescent="0.25">
      <c r="A3" s="30"/>
      <c r="B3" s="110"/>
      <c r="C3" s="110"/>
      <c r="D3" s="110"/>
      <c r="E3" s="110"/>
      <c r="F3" s="110"/>
      <c r="G3" s="110"/>
      <c r="H3" s="110"/>
      <c r="I3" s="131"/>
      <c r="J3" s="132"/>
      <c r="K3" s="132"/>
      <c r="L3" s="132"/>
      <c r="M3" s="132"/>
      <c r="N3" s="132"/>
      <c r="O3" s="133"/>
      <c r="P3" s="30"/>
      <c r="Q3" s="30"/>
      <c r="R3" s="30"/>
      <c r="S3" s="30"/>
    </row>
    <row r="4" spans="1:24" ht="21.6" customHeight="1" thickBot="1" x14ac:dyDescent="0.3">
      <c r="A4" s="39"/>
      <c r="B4" s="30"/>
      <c r="C4" s="40"/>
      <c r="D4" s="40"/>
      <c r="E4" s="41"/>
      <c r="F4" s="39"/>
      <c r="G4" s="39"/>
      <c r="H4" s="39"/>
      <c r="I4" s="134"/>
      <c r="J4" s="135"/>
      <c r="K4" s="135"/>
      <c r="L4" s="135"/>
      <c r="M4" s="135"/>
      <c r="N4" s="135"/>
      <c r="O4" s="136"/>
      <c r="P4" s="39"/>
      <c r="Q4" s="39"/>
      <c r="R4" s="39"/>
      <c r="S4" s="39"/>
    </row>
    <row r="5" spans="1:24" s="6" customFormat="1" ht="36.75" customHeight="1" x14ac:dyDescent="0.25">
      <c r="A5" s="42"/>
      <c r="B5" s="43"/>
      <c r="C5" s="85" t="s">
        <v>47</v>
      </c>
      <c r="D5" s="111" t="str">
        <f>Process!$F$8 &amp; Process!$G$8 &amp; Process!$H$8 &amp; Process!$I$8</f>
        <v>ENFP</v>
      </c>
      <c r="E5" s="86" t="s">
        <v>48</v>
      </c>
      <c r="F5" s="87"/>
      <c r="G5" s="88"/>
      <c r="H5" s="42"/>
      <c r="I5" s="137" t="str">
        <f>_xlfn.XLOOKUP(D5, Types!$A:$A, Types!$B:$B, "Not found")</f>
        <v>۱۱. ENFP – شعور انگیزاننده: اگر همیشه در کلاس یا گروه ایده‌های جدید دارید و دوست دارید دیگران را تشویق کنید، ممکن است این نوع باشید. ENFPها پر از انرژی مثبت هستند، خلاق و به راحتی با دیگران ارتباط برقرار می‌کنند؛ اما گاهی ممکن است در دنبال کردن یک پروژهٔ خاص سختی داشته باشند. برای موفقیت، مهم است که اهداف خود را محدود کنند و بر روی یک یا دو کار تمرکز کنند.</v>
      </c>
      <c r="J5" s="138"/>
      <c r="K5" s="138"/>
      <c r="L5" s="138"/>
      <c r="M5" s="138"/>
      <c r="N5" s="138"/>
      <c r="O5" s="139"/>
      <c r="P5" s="42"/>
      <c r="Q5" s="42"/>
      <c r="R5" s="42"/>
      <c r="S5" s="42"/>
    </row>
    <row r="6" spans="1:24" ht="21" customHeight="1" thickBot="1" x14ac:dyDescent="0.35">
      <c r="A6" s="39"/>
      <c r="B6" s="44"/>
      <c r="C6" s="122" t="s">
        <v>176</v>
      </c>
      <c r="D6" s="123"/>
      <c r="E6" s="123"/>
      <c r="F6" s="123"/>
      <c r="G6" s="124"/>
      <c r="H6" s="39"/>
      <c r="I6" s="131"/>
      <c r="J6" s="132"/>
      <c r="K6" s="132"/>
      <c r="L6" s="132"/>
      <c r="M6" s="132"/>
      <c r="N6" s="132"/>
      <c r="O6" s="133"/>
      <c r="P6" s="39"/>
      <c r="Q6" s="39"/>
      <c r="R6" s="39"/>
      <c r="S6" s="39"/>
      <c r="X6" s="3"/>
    </row>
    <row r="7" spans="1:24" ht="18" customHeight="1" x14ac:dyDescent="0.5">
      <c r="A7" s="39"/>
      <c r="B7" s="45"/>
      <c r="C7" s="40"/>
      <c r="D7" s="40"/>
      <c r="E7" s="41"/>
      <c r="F7" s="39"/>
      <c r="G7" s="39"/>
      <c r="H7" s="39"/>
      <c r="I7" s="131"/>
      <c r="J7" s="132"/>
      <c r="K7" s="132"/>
      <c r="L7" s="132"/>
      <c r="M7" s="132"/>
      <c r="N7" s="132"/>
      <c r="O7" s="133"/>
      <c r="P7" s="39"/>
      <c r="Q7" s="39"/>
      <c r="R7" s="39"/>
      <c r="S7" s="39"/>
      <c r="X7" s="3"/>
    </row>
    <row r="8" spans="1:24" ht="18" customHeight="1" x14ac:dyDescent="0.5">
      <c r="A8" s="39"/>
      <c r="B8" s="45"/>
      <c r="C8" s="40"/>
      <c r="D8" s="40"/>
      <c r="E8" s="41"/>
      <c r="F8" s="39"/>
      <c r="G8" s="39"/>
      <c r="H8" s="39"/>
      <c r="I8" s="131"/>
      <c r="J8" s="132"/>
      <c r="K8" s="132"/>
      <c r="L8" s="132"/>
      <c r="M8" s="132"/>
      <c r="N8" s="132"/>
      <c r="O8" s="133"/>
      <c r="P8" s="39"/>
      <c r="Q8" s="39"/>
      <c r="R8" s="39"/>
      <c r="S8" s="39"/>
      <c r="X8" s="3"/>
    </row>
    <row r="9" spans="1:24" ht="18" customHeight="1" x14ac:dyDescent="0.5">
      <c r="A9" s="39"/>
      <c r="B9" s="45"/>
      <c r="C9" s="40"/>
      <c r="D9" s="40"/>
      <c r="E9" s="41"/>
      <c r="F9" s="39"/>
      <c r="G9" s="39"/>
      <c r="H9" s="39"/>
      <c r="I9" s="131"/>
      <c r="J9" s="132"/>
      <c r="K9" s="132"/>
      <c r="L9" s="132"/>
      <c r="M9" s="132"/>
      <c r="N9" s="132"/>
      <c r="O9" s="133"/>
      <c r="P9" s="39"/>
      <c r="Q9" s="39"/>
      <c r="R9" s="39"/>
      <c r="S9" s="39"/>
      <c r="X9" s="3"/>
    </row>
    <row r="10" spans="1:24" ht="18" customHeight="1" x14ac:dyDescent="0.5">
      <c r="A10" s="39"/>
      <c r="B10" s="45"/>
      <c r="C10" s="40"/>
      <c r="D10" s="40"/>
      <c r="E10" s="41"/>
      <c r="F10" s="39"/>
      <c r="G10" s="39"/>
      <c r="H10" s="39"/>
      <c r="I10" s="131"/>
      <c r="J10" s="132"/>
      <c r="K10" s="132"/>
      <c r="L10" s="132"/>
      <c r="M10" s="132"/>
      <c r="N10" s="132"/>
      <c r="O10" s="133"/>
      <c r="P10" s="39"/>
      <c r="Q10" s="39"/>
      <c r="R10" s="39"/>
      <c r="S10" s="39"/>
      <c r="X10" s="3"/>
    </row>
    <row r="11" spans="1:24" ht="18" customHeight="1" x14ac:dyDescent="0.5">
      <c r="A11" s="39"/>
      <c r="B11" s="45"/>
      <c r="C11" s="40"/>
      <c r="D11" s="40"/>
      <c r="E11" s="41"/>
      <c r="F11" s="39"/>
      <c r="G11" s="39"/>
      <c r="H11" s="39"/>
      <c r="I11" s="131"/>
      <c r="J11" s="132"/>
      <c r="K11" s="132"/>
      <c r="L11" s="132"/>
      <c r="M11" s="132"/>
      <c r="N11" s="132"/>
      <c r="O11" s="133"/>
      <c r="P11" s="39"/>
      <c r="Q11" s="39"/>
      <c r="R11" s="39"/>
      <c r="S11" s="39"/>
      <c r="X11" s="3"/>
    </row>
    <row r="12" spans="1:24" ht="15.6" customHeight="1" x14ac:dyDescent="0.3">
      <c r="A12" s="39"/>
      <c r="B12" s="44"/>
      <c r="C12" s="40"/>
      <c r="D12" s="40"/>
      <c r="E12" s="41"/>
      <c r="F12" s="39"/>
      <c r="G12" s="39"/>
      <c r="H12" s="39"/>
      <c r="I12" s="131"/>
      <c r="J12" s="132"/>
      <c r="K12" s="132"/>
      <c r="L12" s="132"/>
      <c r="M12" s="132"/>
      <c r="N12" s="132"/>
      <c r="O12" s="133"/>
      <c r="P12" s="39"/>
      <c r="Q12" s="39"/>
      <c r="R12" s="39"/>
      <c r="S12" s="39"/>
    </row>
    <row r="13" spans="1:24" ht="18" customHeight="1" x14ac:dyDescent="0.5">
      <c r="A13" s="39"/>
      <c r="B13" s="45"/>
      <c r="C13" s="40"/>
      <c r="D13" s="40"/>
      <c r="E13" s="41"/>
      <c r="F13" s="39"/>
      <c r="G13" s="39"/>
      <c r="H13" s="39"/>
      <c r="I13" s="131"/>
      <c r="J13" s="132"/>
      <c r="K13" s="132"/>
      <c r="L13" s="132"/>
      <c r="M13" s="132"/>
      <c r="N13" s="132"/>
      <c r="O13" s="133"/>
      <c r="P13" s="39"/>
      <c r="Q13" s="39"/>
      <c r="R13" s="39"/>
      <c r="S13" s="39"/>
    </row>
    <row r="14" spans="1:24" ht="18" customHeight="1" x14ac:dyDescent="0.5">
      <c r="A14" s="39"/>
      <c r="B14" s="46"/>
      <c r="C14" s="40"/>
      <c r="D14" s="40"/>
      <c r="E14" s="41"/>
      <c r="F14" s="39"/>
      <c r="G14" s="39"/>
      <c r="H14" s="39"/>
      <c r="I14" s="131"/>
      <c r="J14" s="132"/>
      <c r="K14" s="132"/>
      <c r="L14" s="132"/>
      <c r="M14" s="132"/>
      <c r="N14" s="132"/>
      <c r="O14" s="133"/>
      <c r="P14" s="39"/>
      <c r="Q14" s="39"/>
      <c r="R14" s="39"/>
      <c r="S14" s="39"/>
    </row>
    <row r="15" spans="1:24" ht="21" customHeight="1" x14ac:dyDescent="0.5">
      <c r="A15" s="39"/>
      <c r="B15" s="46"/>
      <c r="C15" s="40"/>
      <c r="D15" s="40"/>
      <c r="E15" s="41"/>
      <c r="F15" s="39"/>
      <c r="G15" s="39"/>
      <c r="H15" s="39"/>
      <c r="I15" s="131"/>
      <c r="J15" s="132"/>
      <c r="K15" s="132"/>
      <c r="L15" s="132"/>
      <c r="M15" s="132"/>
      <c r="N15" s="132"/>
      <c r="O15" s="133"/>
      <c r="P15" s="39"/>
      <c r="Q15" s="39"/>
      <c r="R15" s="39"/>
      <c r="S15" s="39"/>
    </row>
    <row r="16" spans="1:24" ht="18" customHeight="1" x14ac:dyDescent="0.5">
      <c r="A16" s="39"/>
      <c r="B16" s="46"/>
      <c r="C16" s="40"/>
      <c r="D16" s="40"/>
      <c r="E16" s="41"/>
      <c r="F16" s="39"/>
      <c r="G16" s="39"/>
      <c r="H16" s="39"/>
      <c r="I16" s="131"/>
      <c r="J16" s="132"/>
      <c r="K16" s="132"/>
      <c r="L16" s="132"/>
      <c r="M16" s="132"/>
      <c r="N16" s="132"/>
      <c r="O16" s="133"/>
      <c r="P16" s="39"/>
      <c r="Q16" s="39"/>
      <c r="R16" s="39"/>
      <c r="S16" s="39"/>
    </row>
    <row r="17" spans="1:19" ht="18" customHeight="1" x14ac:dyDescent="0.5">
      <c r="A17" s="39"/>
      <c r="B17" s="46"/>
      <c r="C17" s="40"/>
      <c r="D17" s="40"/>
      <c r="E17" s="41"/>
      <c r="F17" s="39"/>
      <c r="G17" s="39"/>
      <c r="H17" s="39"/>
      <c r="I17" s="131"/>
      <c r="J17" s="132"/>
      <c r="K17" s="132"/>
      <c r="L17" s="132"/>
      <c r="M17" s="132"/>
      <c r="N17" s="132"/>
      <c r="O17" s="133"/>
      <c r="P17" s="39"/>
      <c r="Q17" s="39"/>
      <c r="R17" s="39"/>
      <c r="S17" s="39"/>
    </row>
    <row r="18" spans="1:19" ht="18" customHeight="1" x14ac:dyDescent="0.5">
      <c r="A18" s="39"/>
      <c r="B18" s="46"/>
      <c r="C18" s="40"/>
      <c r="D18" s="40"/>
      <c r="E18" s="41"/>
      <c r="F18" s="39"/>
      <c r="G18" s="39"/>
      <c r="H18" s="39"/>
      <c r="I18" s="131"/>
      <c r="J18" s="132"/>
      <c r="K18" s="132"/>
      <c r="L18" s="132"/>
      <c r="M18" s="132"/>
      <c r="N18" s="132"/>
      <c r="O18" s="133"/>
      <c r="P18" s="39"/>
      <c r="Q18" s="39"/>
      <c r="R18" s="39"/>
      <c r="S18" s="39"/>
    </row>
    <row r="19" spans="1:19" ht="18.600000000000001" customHeight="1" x14ac:dyDescent="0.55000000000000004">
      <c r="A19" s="39"/>
      <c r="B19" s="47"/>
      <c r="C19" s="40"/>
      <c r="D19" s="40"/>
      <c r="E19" s="41"/>
      <c r="F19" s="39"/>
      <c r="G19" s="39"/>
      <c r="H19" s="39"/>
      <c r="I19" s="131"/>
      <c r="J19" s="132"/>
      <c r="K19" s="132"/>
      <c r="L19" s="132"/>
      <c r="M19" s="132"/>
      <c r="N19" s="132"/>
      <c r="O19" s="133"/>
      <c r="P19" s="39"/>
      <c r="Q19" s="39"/>
      <c r="R19" s="39"/>
      <c r="S19" s="39"/>
    </row>
    <row r="20" spans="1:19" ht="18" customHeight="1" x14ac:dyDescent="0.5">
      <c r="A20" s="39"/>
      <c r="B20" s="46"/>
      <c r="C20" s="48"/>
      <c r="D20" s="40"/>
      <c r="E20" s="41"/>
      <c r="F20" s="39"/>
      <c r="G20" s="39"/>
      <c r="H20" s="39"/>
      <c r="I20" s="131"/>
      <c r="J20" s="132"/>
      <c r="K20" s="132"/>
      <c r="L20" s="132"/>
      <c r="M20" s="132"/>
      <c r="N20" s="132"/>
      <c r="O20" s="133"/>
      <c r="P20" s="39"/>
      <c r="Q20" s="39"/>
      <c r="R20" s="39"/>
      <c r="S20" s="39"/>
    </row>
    <row r="21" spans="1:19" ht="18" customHeight="1" thickBot="1" x14ac:dyDescent="0.55000000000000004">
      <c r="A21" s="39"/>
      <c r="B21" s="46"/>
      <c r="C21" s="40"/>
      <c r="D21" s="40"/>
      <c r="E21" s="41"/>
      <c r="F21" s="39"/>
      <c r="G21" s="39"/>
      <c r="H21" s="39"/>
      <c r="I21" s="134"/>
      <c r="J21" s="135"/>
      <c r="K21" s="135"/>
      <c r="L21" s="135"/>
      <c r="M21" s="135"/>
      <c r="N21" s="135"/>
      <c r="O21" s="136"/>
      <c r="P21" s="39"/>
      <c r="Q21" s="39"/>
      <c r="R21" s="39"/>
      <c r="S21" s="39"/>
    </row>
    <row r="22" spans="1:19" ht="18" customHeight="1" x14ac:dyDescent="0.5">
      <c r="A22" s="39"/>
      <c r="B22" s="46"/>
      <c r="C22" s="40"/>
      <c r="D22" s="40"/>
      <c r="E22" s="41"/>
      <c r="F22" s="39"/>
      <c r="G22" s="39"/>
      <c r="H22" s="39"/>
      <c r="I22" s="39"/>
      <c r="J22" s="39"/>
      <c r="K22" s="39"/>
      <c r="L22" s="39"/>
      <c r="M22" s="39"/>
      <c r="N22" s="39"/>
      <c r="O22" s="39"/>
      <c r="P22" s="39"/>
      <c r="Q22" s="39"/>
      <c r="R22" s="39"/>
      <c r="S22" s="39"/>
    </row>
    <row r="23" spans="1:19" ht="18" x14ac:dyDescent="0.5">
      <c r="A23" s="39"/>
      <c r="B23" s="46"/>
      <c r="C23" s="40"/>
      <c r="D23" s="40"/>
      <c r="E23" s="41"/>
      <c r="F23" s="39"/>
      <c r="G23" s="39"/>
      <c r="H23" s="39"/>
      <c r="I23" s="39"/>
      <c r="J23" s="39"/>
      <c r="K23" s="39"/>
      <c r="L23" s="39"/>
      <c r="M23" s="39"/>
      <c r="N23" s="39"/>
      <c r="O23" s="39"/>
      <c r="P23" s="39"/>
      <c r="Q23" s="39"/>
      <c r="R23" s="39"/>
      <c r="S23" s="39"/>
    </row>
    <row r="24" spans="1:19" ht="18.600000000000001" x14ac:dyDescent="0.55000000000000004">
      <c r="A24" s="39"/>
      <c r="B24" s="47"/>
      <c r="C24" s="40"/>
      <c r="D24" s="40"/>
      <c r="E24" s="41"/>
      <c r="F24" s="39"/>
      <c r="G24" s="39"/>
      <c r="H24" s="39"/>
      <c r="I24" s="39"/>
      <c r="J24" s="39"/>
      <c r="K24" s="39"/>
      <c r="L24" s="39"/>
      <c r="M24" s="39"/>
      <c r="N24" s="39"/>
      <c r="O24" s="39"/>
      <c r="P24" s="39"/>
      <c r="Q24" s="39"/>
      <c r="R24" s="39"/>
      <c r="S24" s="39"/>
    </row>
    <row r="25" spans="1:19" ht="18" x14ac:dyDescent="0.5">
      <c r="A25" s="39"/>
      <c r="B25" s="46"/>
      <c r="C25" s="40"/>
      <c r="D25" s="40"/>
      <c r="E25" s="41"/>
      <c r="F25" s="39"/>
      <c r="G25" s="39"/>
      <c r="H25" s="39"/>
      <c r="I25" s="39"/>
      <c r="J25" s="39"/>
      <c r="K25" s="39"/>
      <c r="L25" s="39"/>
      <c r="M25" s="39"/>
      <c r="N25" s="39"/>
      <c r="O25" s="39"/>
      <c r="P25" s="39"/>
      <c r="Q25" s="39"/>
      <c r="R25" s="39"/>
      <c r="S25" s="39"/>
    </row>
    <row r="26" spans="1:19" ht="18" x14ac:dyDescent="0.5">
      <c r="A26" s="39"/>
      <c r="B26" s="46"/>
      <c r="C26" s="40"/>
      <c r="D26" s="40"/>
      <c r="E26" s="41"/>
      <c r="F26" s="39"/>
      <c r="G26" s="39"/>
      <c r="H26" s="39"/>
      <c r="I26" s="39"/>
      <c r="J26" s="39"/>
      <c r="K26" s="39"/>
      <c r="L26" s="39"/>
      <c r="M26" s="39"/>
      <c r="N26" s="39"/>
      <c r="O26" s="39"/>
      <c r="P26" s="39"/>
      <c r="Q26" s="39"/>
      <c r="R26" s="39"/>
      <c r="S26" s="39"/>
    </row>
    <row r="27" spans="1:19" ht="18" x14ac:dyDescent="0.5">
      <c r="A27" s="39"/>
      <c r="B27" s="46"/>
      <c r="C27" s="40"/>
      <c r="D27" s="40"/>
      <c r="E27" s="41"/>
      <c r="F27" s="39"/>
      <c r="G27" s="39"/>
      <c r="H27" s="39"/>
      <c r="I27" s="39"/>
      <c r="J27" s="39"/>
      <c r="K27" s="39"/>
      <c r="L27" s="39"/>
      <c r="M27" s="39"/>
      <c r="N27" s="39"/>
      <c r="O27" s="39"/>
      <c r="P27" s="39"/>
      <c r="Q27" s="39"/>
      <c r="R27" s="39"/>
      <c r="S27" s="39"/>
    </row>
    <row r="28" spans="1:19" ht="18" x14ac:dyDescent="0.5">
      <c r="A28" s="39"/>
      <c r="B28" s="46"/>
      <c r="C28" s="40"/>
      <c r="D28" s="40"/>
      <c r="E28" s="41"/>
      <c r="F28" s="39"/>
      <c r="G28" s="39"/>
      <c r="H28" s="39"/>
      <c r="I28" s="39"/>
      <c r="J28" s="39"/>
      <c r="K28" s="39"/>
      <c r="L28" s="39"/>
      <c r="M28" s="39"/>
      <c r="N28" s="39"/>
      <c r="O28" s="39"/>
      <c r="P28" s="39"/>
      <c r="Q28" s="39"/>
      <c r="R28" s="39"/>
      <c r="S28" s="39"/>
    </row>
    <row r="29" spans="1:19" ht="18" x14ac:dyDescent="0.5">
      <c r="A29" s="39"/>
      <c r="B29" s="46"/>
      <c r="C29" s="40"/>
      <c r="D29" s="40"/>
      <c r="E29" s="41"/>
      <c r="F29" s="39"/>
      <c r="G29" s="39"/>
      <c r="H29" s="39"/>
      <c r="I29" s="39"/>
      <c r="J29" s="39"/>
      <c r="K29" s="39"/>
      <c r="L29" s="39"/>
      <c r="M29" s="39"/>
      <c r="N29" s="39"/>
      <c r="O29" s="39"/>
      <c r="P29" s="39"/>
      <c r="Q29" s="39"/>
      <c r="R29" s="39"/>
      <c r="S29" s="39"/>
    </row>
    <row r="30" spans="1:19" ht="18" customHeight="1" x14ac:dyDescent="0.55000000000000004">
      <c r="A30" s="39"/>
      <c r="B30" s="47"/>
      <c r="C30" s="40"/>
      <c r="D30" s="40"/>
      <c r="E30" s="41"/>
      <c r="F30" s="39"/>
      <c r="G30" s="39"/>
      <c r="H30" s="39"/>
      <c r="I30" s="39"/>
      <c r="J30" s="39"/>
      <c r="K30" s="39"/>
      <c r="L30" s="39"/>
      <c r="M30" s="39"/>
      <c r="N30" s="39"/>
      <c r="O30" s="39"/>
      <c r="P30" s="39"/>
      <c r="Q30" s="39"/>
      <c r="R30" s="39"/>
      <c r="S30" s="39"/>
    </row>
    <row r="31" spans="1:19" ht="18" customHeight="1" x14ac:dyDescent="0.6">
      <c r="A31" s="39"/>
      <c r="B31" s="46"/>
      <c r="C31" s="119"/>
      <c r="D31" s="119"/>
      <c r="E31" s="119"/>
      <c r="F31" s="119"/>
      <c r="G31" s="119"/>
      <c r="H31" s="119"/>
      <c r="I31" s="39"/>
      <c r="J31" s="39"/>
      <c r="K31" s="39"/>
      <c r="L31" s="39"/>
      <c r="M31" s="39"/>
      <c r="N31" s="39"/>
      <c r="O31" s="39"/>
      <c r="P31" s="39"/>
      <c r="Q31" s="39"/>
      <c r="R31" s="39"/>
      <c r="S31" s="39"/>
    </row>
    <row r="32" spans="1:19" ht="18" customHeight="1" x14ac:dyDescent="1.25">
      <c r="A32" s="39"/>
      <c r="B32" s="46"/>
      <c r="C32" s="120"/>
      <c r="D32" s="121"/>
      <c r="E32" s="121"/>
      <c r="F32" s="121"/>
      <c r="G32" s="121"/>
      <c r="H32" s="39"/>
      <c r="I32" s="39"/>
      <c r="J32" s="39"/>
      <c r="K32" s="39"/>
      <c r="L32" s="39"/>
      <c r="M32" s="39"/>
      <c r="N32" s="39"/>
      <c r="O32" s="39"/>
      <c r="P32" s="39"/>
      <c r="Q32" s="39"/>
      <c r="R32" s="39"/>
      <c r="S32" s="39"/>
    </row>
    <row r="33" spans="1:19" ht="18" x14ac:dyDescent="0.5">
      <c r="A33" s="39"/>
      <c r="B33" s="46"/>
      <c r="C33" s="40"/>
      <c r="D33" s="40"/>
      <c r="E33" s="41"/>
      <c r="F33" s="39"/>
      <c r="G33" s="39"/>
      <c r="H33" s="39"/>
      <c r="I33" s="39"/>
      <c r="J33" s="39"/>
      <c r="K33" s="39"/>
      <c r="L33" s="39"/>
      <c r="M33" s="39"/>
      <c r="N33" s="39"/>
      <c r="O33" s="39"/>
      <c r="P33" s="39"/>
      <c r="Q33" s="39"/>
      <c r="R33" s="39"/>
      <c r="S33" s="39"/>
    </row>
    <row r="34" spans="1:19" ht="18" x14ac:dyDescent="0.5">
      <c r="A34" s="39"/>
      <c r="B34" s="46"/>
      <c r="C34" s="40"/>
      <c r="D34" s="40"/>
      <c r="E34" s="41"/>
      <c r="F34" s="39"/>
      <c r="G34" s="39"/>
      <c r="H34" s="39"/>
      <c r="I34" s="39"/>
      <c r="J34" s="39"/>
      <c r="K34" s="39"/>
      <c r="L34" s="39"/>
      <c r="M34" s="39"/>
      <c r="N34" s="39"/>
      <c r="O34" s="39"/>
      <c r="P34" s="39"/>
      <c r="Q34" s="39"/>
      <c r="R34" s="39"/>
      <c r="S34" s="39"/>
    </row>
    <row r="35" spans="1:19" ht="18" x14ac:dyDescent="0.5">
      <c r="A35" s="39"/>
      <c r="B35" s="46"/>
      <c r="C35" s="40"/>
      <c r="D35" s="40"/>
      <c r="E35" s="41"/>
      <c r="F35" s="39"/>
      <c r="G35" s="39"/>
      <c r="H35" s="39"/>
      <c r="I35" s="39"/>
      <c r="J35" s="39"/>
      <c r="K35" s="39"/>
      <c r="L35" s="39"/>
      <c r="M35" s="39"/>
      <c r="N35" s="39"/>
      <c r="O35" s="39"/>
      <c r="P35" s="39"/>
      <c r="Q35" s="39"/>
      <c r="R35" s="39"/>
      <c r="S35" s="39"/>
    </row>
    <row r="36" spans="1:19" ht="18" x14ac:dyDescent="0.5">
      <c r="A36" s="39"/>
      <c r="B36" s="46"/>
      <c r="C36" s="40"/>
      <c r="D36" s="40"/>
      <c r="E36" s="41"/>
      <c r="F36" s="39"/>
      <c r="G36" s="39"/>
      <c r="H36" s="39"/>
      <c r="I36" s="39"/>
      <c r="J36" s="39"/>
      <c r="K36" s="39"/>
      <c r="L36" s="39"/>
      <c r="M36" s="39"/>
      <c r="N36" s="39"/>
      <c r="O36" s="39"/>
      <c r="P36" s="39"/>
      <c r="Q36" s="39"/>
      <c r="R36" s="39"/>
      <c r="S36" s="39"/>
    </row>
    <row r="37" spans="1:19" ht="18" x14ac:dyDescent="0.5">
      <c r="A37" s="39"/>
      <c r="B37" s="46"/>
      <c r="C37" s="40"/>
      <c r="D37" s="40"/>
      <c r="E37" s="41"/>
      <c r="F37" s="39"/>
      <c r="G37" s="39"/>
      <c r="H37" s="39"/>
      <c r="I37" s="39"/>
      <c r="J37" s="39"/>
      <c r="K37" s="39"/>
      <c r="L37" s="39"/>
      <c r="M37" s="39"/>
      <c r="N37" s="39"/>
      <c r="O37" s="39"/>
      <c r="P37" s="39"/>
      <c r="Q37" s="39"/>
      <c r="R37" s="39"/>
      <c r="S37" s="39"/>
    </row>
    <row r="38" spans="1:19" ht="18" x14ac:dyDescent="0.5">
      <c r="A38" s="39"/>
      <c r="B38" s="46"/>
      <c r="C38" s="40"/>
      <c r="D38" s="40"/>
      <c r="E38" s="41"/>
      <c r="F38" s="39"/>
      <c r="G38" s="39"/>
      <c r="H38" s="39"/>
      <c r="I38" s="39"/>
      <c r="J38" s="39"/>
      <c r="K38" s="39"/>
      <c r="L38" s="39"/>
      <c r="M38" s="39"/>
      <c r="N38" s="39"/>
      <c r="O38" s="39"/>
      <c r="P38" s="39"/>
      <c r="Q38" s="39"/>
      <c r="R38" s="39"/>
      <c r="S38" s="39"/>
    </row>
    <row r="39" spans="1:19" ht="18" x14ac:dyDescent="0.5">
      <c r="A39" s="39"/>
      <c r="B39" s="46"/>
      <c r="C39" s="40"/>
      <c r="D39" s="40"/>
      <c r="E39" s="41"/>
      <c r="F39" s="39"/>
      <c r="G39" s="39"/>
      <c r="H39" s="39"/>
      <c r="I39" s="39"/>
      <c r="J39" s="39"/>
      <c r="K39" s="39"/>
      <c r="L39" s="39"/>
      <c r="M39" s="39"/>
      <c r="N39" s="39"/>
      <c r="O39" s="39"/>
      <c r="P39" s="39"/>
      <c r="Q39" s="39"/>
      <c r="R39" s="39"/>
      <c r="S39" s="39"/>
    </row>
    <row r="40" spans="1:19" ht="21" customHeight="1" x14ac:dyDescent="0.5">
      <c r="A40" s="39"/>
      <c r="B40" s="46"/>
      <c r="C40" s="40"/>
      <c r="D40" s="40"/>
      <c r="E40" s="41"/>
      <c r="F40" s="39"/>
      <c r="G40" s="39"/>
      <c r="H40" s="39"/>
      <c r="I40" s="39"/>
      <c r="J40" s="39"/>
      <c r="K40" s="39"/>
      <c r="L40" s="39"/>
      <c r="M40" s="39"/>
      <c r="N40" s="39"/>
      <c r="O40" s="39"/>
      <c r="P40" s="39"/>
      <c r="Q40" s="39"/>
      <c r="R40" s="39"/>
      <c r="S40" s="39"/>
    </row>
    <row r="41" spans="1:19" ht="18" x14ac:dyDescent="0.5">
      <c r="A41" s="39"/>
      <c r="B41" s="46"/>
      <c r="C41" s="40"/>
      <c r="D41" s="40"/>
      <c r="E41" s="41"/>
      <c r="F41" s="39"/>
      <c r="G41" s="39"/>
      <c r="H41" s="39"/>
      <c r="I41" s="39"/>
      <c r="J41" s="39"/>
      <c r="K41" s="39"/>
      <c r="L41" s="39"/>
      <c r="M41" s="39"/>
      <c r="N41" s="39"/>
      <c r="O41" s="39"/>
      <c r="P41" s="39"/>
      <c r="Q41" s="39"/>
      <c r="R41" s="39"/>
      <c r="S41" s="39"/>
    </row>
    <row r="42" spans="1:19" ht="18.600000000000001" x14ac:dyDescent="0.55000000000000004">
      <c r="A42" s="39"/>
      <c r="B42" s="47"/>
      <c r="C42" s="40"/>
      <c r="D42" s="40"/>
      <c r="E42" s="41"/>
      <c r="F42" s="39"/>
      <c r="G42" s="39"/>
      <c r="H42" s="39"/>
      <c r="I42" s="39"/>
      <c r="J42" s="39"/>
      <c r="K42" s="39"/>
      <c r="L42" s="39"/>
      <c r="M42" s="39"/>
      <c r="N42" s="39"/>
      <c r="O42" s="39"/>
      <c r="P42" s="39"/>
      <c r="Q42" s="39"/>
      <c r="R42" s="39"/>
      <c r="S42" s="39"/>
    </row>
    <row r="43" spans="1:19" ht="15.6" x14ac:dyDescent="0.3">
      <c r="A43" s="39"/>
      <c r="B43" s="49"/>
      <c r="C43" s="40"/>
      <c r="D43" s="40"/>
      <c r="E43" s="41"/>
      <c r="F43" s="39"/>
      <c r="G43" s="39"/>
      <c r="H43" s="39"/>
      <c r="I43" s="39"/>
      <c r="J43" s="39"/>
      <c r="K43" s="39"/>
      <c r="L43" s="39"/>
      <c r="M43" s="39"/>
      <c r="N43" s="39"/>
      <c r="O43" s="39"/>
      <c r="P43" s="39"/>
      <c r="Q43" s="39"/>
      <c r="R43" s="39"/>
      <c r="S43" s="39"/>
    </row>
    <row r="44" spans="1:19" ht="18.600000000000001" x14ac:dyDescent="0.55000000000000004">
      <c r="A44" s="39"/>
      <c r="B44" s="47"/>
      <c r="C44" s="40"/>
      <c r="D44" s="40"/>
      <c r="E44" s="41"/>
      <c r="F44" s="39"/>
      <c r="G44" s="39"/>
      <c r="H44" s="39"/>
      <c r="I44" s="39"/>
      <c r="J44" s="39"/>
      <c r="K44" s="39"/>
      <c r="L44" s="39"/>
      <c r="M44" s="39"/>
      <c r="N44" s="39"/>
      <c r="O44" s="39"/>
      <c r="P44" s="39"/>
      <c r="Q44" s="39"/>
      <c r="R44" s="39"/>
      <c r="S44" s="39"/>
    </row>
    <row r="45" spans="1:19" ht="18" x14ac:dyDescent="0.5">
      <c r="A45" s="39"/>
      <c r="B45" s="46"/>
      <c r="C45" s="40"/>
      <c r="D45" s="40"/>
      <c r="E45" s="41"/>
      <c r="F45" s="39"/>
      <c r="G45" s="39"/>
      <c r="H45" s="39"/>
      <c r="I45" s="39"/>
      <c r="J45" s="39"/>
      <c r="K45" s="39"/>
      <c r="L45" s="39"/>
      <c r="M45" s="39"/>
      <c r="N45" s="39"/>
      <c r="O45" s="39"/>
      <c r="P45" s="39"/>
      <c r="Q45" s="39"/>
      <c r="R45" s="39"/>
      <c r="S45" s="39"/>
    </row>
    <row r="46" spans="1:19" ht="18" x14ac:dyDescent="0.5">
      <c r="A46" s="39"/>
      <c r="B46" s="46"/>
      <c r="C46" s="40"/>
      <c r="D46" s="40"/>
      <c r="E46" s="41"/>
      <c r="F46" s="39"/>
      <c r="G46" s="39"/>
      <c r="H46" s="39"/>
      <c r="I46" s="39"/>
      <c r="J46" s="39"/>
      <c r="K46" s="39"/>
      <c r="L46" s="39"/>
      <c r="M46" s="39"/>
      <c r="N46" s="39"/>
      <c r="O46" s="39"/>
      <c r="P46" s="39"/>
      <c r="Q46" s="39"/>
      <c r="R46" s="39"/>
      <c r="S46" s="39"/>
    </row>
    <row r="47" spans="1:19" ht="18" x14ac:dyDescent="0.5">
      <c r="A47" s="39"/>
      <c r="B47" s="46"/>
      <c r="C47" s="40"/>
      <c r="D47" s="40"/>
      <c r="E47" s="41"/>
      <c r="F47" s="39"/>
      <c r="G47" s="39"/>
      <c r="H47" s="39"/>
      <c r="I47" s="39"/>
      <c r="J47" s="39"/>
      <c r="K47" s="39"/>
      <c r="L47" s="39"/>
      <c r="M47" s="39"/>
      <c r="N47" s="39"/>
      <c r="O47" s="39"/>
      <c r="P47" s="39"/>
      <c r="Q47" s="39"/>
      <c r="R47" s="39"/>
      <c r="S47" s="39"/>
    </row>
    <row r="48" spans="1:19" ht="18" x14ac:dyDescent="0.5">
      <c r="A48" s="39"/>
      <c r="B48" s="46"/>
      <c r="C48" s="40"/>
      <c r="D48" s="40"/>
      <c r="E48" s="41"/>
      <c r="F48" s="39"/>
      <c r="G48" s="39"/>
      <c r="H48" s="39"/>
      <c r="I48" s="39"/>
      <c r="J48" s="39"/>
      <c r="K48" s="39"/>
      <c r="L48" s="39"/>
      <c r="M48" s="39"/>
      <c r="N48" s="39"/>
      <c r="O48" s="39"/>
      <c r="P48" s="39"/>
      <c r="Q48" s="39"/>
      <c r="R48" s="39"/>
      <c r="S48" s="39"/>
    </row>
    <row r="49" spans="1:19" ht="18" x14ac:dyDescent="0.5">
      <c r="A49" s="39"/>
      <c r="B49" s="46"/>
      <c r="C49" s="40"/>
      <c r="D49" s="40"/>
      <c r="E49" s="41"/>
      <c r="F49" s="39"/>
      <c r="G49" s="39"/>
      <c r="H49" s="39"/>
      <c r="I49" s="39"/>
      <c r="J49" s="39"/>
      <c r="K49" s="39"/>
      <c r="L49" s="39"/>
      <c r="M49" s="39"/>
      <c r="N49" s="39"/>
      <c r="O49" s="39"/>
      <c r="P49" s="39"/>
      <c r="Q49" s="39"/>
      <c r="R49" s="39"/>
      <c r="S49" s="39"/>
    </row>
    <row r="50" spans="1:19" ht="21" customHeight="1" x14ac:dyDescent="0.5">
      <c r="A50" s="39"/>
      <c r="B50" s="46"/>
      <c r="C50" s="40"/>
      <c r="D50" s="40"/>
      <c r="E50" s="41"/>
      <c r="F50" s="39"/>
      <c r="G50" s="39"/>
      <c r="H50" s="39"/>
      <c r="I50" s="39"/>
      <c r="J50" s="39"/>
      <c r="K50" s="39"/>
      <c r="L50" s="39"/>
      <c r="M50" s="39"/>
      <c r="N50" s="39"/>
      <c r="O50" s="39"/>
      <c r="P50" s="39"/>
      <c r="Q50" s="39"/>
      <c r="R50" s="39"/>
      <c r="S50" s="39"/>
    </row>
    <row r="51" spans="1:19" ht="18" x14ac:dyDescent="0.5">
      <c r="A51" s="39"/>
      <c r="B51" s="46"/>
      <c r="C51" s="40"/>
      <c r="D51" s="40"/>
      <c r="E51" s="41"/>
      <c r="F51" s="39"/>
      <c r="G51" s="39"/>
      <c r="H51" s="39"/>
      <c r="I51" s="39"/>
      <c r="J51" s="39"/>
      <c r="K51" s="39"/>
      <c r="L51" s="39"/>
      <c r="M51" s="39"/>
      <c r="N51" s="39"/>
      <c r="O51" s="39"/>
      <c r="P51" s="39"/>
      <c r="Q51" s="39"/>
      <c r="R51" s="39"/>
      <c r="S51" s="39"/>
    </row>
    <row r="52" spans="1:19" ht="18" x14ac:dyDescent="0.5">
      <c r="A52" s="39"/>
      <c r="B52" s="46"/>
      <c r="C52" s="40"/>
      <c r="D52" s="40"/>
      <c r="E52" s="41"/>
      <c r="F52" s="39"/>
      <c r="G52" s="39"/>
      <c r="H52" s="39"/>
      <c r="I52" s="39"/>
      <c r="J52" s="39"/>
      <c r="K52" s="39"/>
      <c r="L52" s="39"/>
      <c r="M52" s="39"/>
      <c r="N52" s="39"/>
      <c r="O52" s="39"/>
      <c r="P52" s="39"/>
      <c r="Q52" s="39"/>
      <c r="R52" s="39"/>
      <c r="S52" s="39"/>
    </row>
    <row r="53" spans="1:19" ht="18" x14ac:dyDescent="0.5">
      <c r="A53" s="39"/>
      <c r="B53" s="46"/>
      <c r="C53" s="40"/>
      <c r="D53" s="40"/>
      <c r="E53" s="41"/>
      <c r="F53" s="39"/>
      <c r="G53" s="39"/>
      <c r="H53" s="39"/>
      <c r="I53" s="39"/>
      <c r="J53" s="39"/>
      <c r="K53" s="39"/>
      <c r="L53" s="39"/>
      <c r="M53" s="39"/>
      <c r="N53" s="39"/>
      <c r="O53" s="39"/>
      <c r="P53" s="39"/>
      <c r="Q53" s="39"/>
      <c r="R53" s="39"/>
      <c r="S53" s="39"/>
    </row>
    <row r="54" spans="1:19" ht="18" x14ac:dyDescent="0.5">
      <c r="A54" s="39"/>
      <c r="B54" s="46"/>
      <c r="C54" s="40"/>
      <c r="D54" s="40"/>
      <c r="E54" s="41"/>
      <c r="F54" s="39"/>
      <c r="G54" s="39"/>
      <c r="H54" s="39"/>
      <c r="I54" s="39"/>
      <c r="J54" s="39"/>
      <c r="K54" s="39"/>
      <c r="L54" s="39"/>
      <c r="M54" s="39"/>
      <c r="N54" s="39"/>
      <c r="O54" s="39"/>
      <c r="P54" s="39"/>
      <c r="Q54" s="39"/>
      <c r="R54" s="39"/>
      <c r="S54" s="39"/>
    </row>
    <row r="55" spans="1:19" ht="18" x14ac:dyDescent="0.5">
      <c r="A55" s="39"/>
      <c r="B55" s="46"/>
      <c r="C55" s="40"/>
      <c r="D55" s="40"/>
      <c r="E55" s="41"/>
      <c r="F55" s="39"/>
      <c r="G55" s="39"/>
      <c r="H55" s="39"/>
      <c r="I55" s="39"/>
      <c r="J55" s="39"/>
      <c r="K55" s="39"/>
      <c r="L55" s="39"/>
      <c r="M55" s="39"/>
      <c r="N55" s="39"/>
      <c r="O55" s="39"/>
      <c r="P55" s="39"/>
      <c r="Q55" s="39"/>
      <c r="R55" s="39"/>
      <c r="S55" s="39"/>
    </row>
    <row r="56" spans="1:19" ht="18" x14ac:dyDescent="0.5">
      <c r="A56" s="39"/>
      <c r="B56" s="46"/>
      <c r="C56" s="40"/>
      <c r="D56" s="40"/>
      <c r="E56" s="41"/>
      <c r="F56" s="39"/>
      <c r="G56" s="39"/>
      <c r="H56" s="39"/>
      <c r="I56" s="39"/>
      <c r="J56" s="39"/>
      <c r="K56" s="39"/>
      <c r="L56" s="39"/>
      <c r="M56" s="39"/>
      <c r="N56" s="39"/>
      <c r="O56" s="39"/>
      <c r="P56" s="39"/>
      <c r="Q56" s="39"/>
      <c r="R56" s="39"/>
      <c r="S56" s="39"/>
    </row>
    <row r="57" spans="1:19" x14ac:dyDescent="0.25">
      <c r="A57" s="39"/>
      <c r="B57" s="30"/>
      <c r="C57" s="40"/>
      <c r="D57" s="40"/>
      <c r="E57" s="41"/>
      <c r="F57" s="39"/>
      <c r="G57" s="39"/>
      <c r="H57" s="39"/>
      <c r="I57" s="39"/>
      <c r="J57" s="39"/>
      <c r="K57" s="39"/>
      <c r="L57" s="39"/>
      <c r="M57" s="39"/>
      <c r="N57" s="39"/>
      <c r="O57" s="39"/>
      <c r="P57" s="39"/>
      <c r="Q57" s="39"/>
      <c r="R57" s="39"/>
      <c r="S57" s="39"/>
    </row>
    <row r="58" spans="1:19" x14ac:dyDescent="0.25">
      <c r="A58" s="39"/>
      <c r="B58" s="30"/>
      <c r="C58" s="40"/>
      <c r="D58" s="40"/>
      <c r="E58" s="41"/>
      <c r="F58" s="39"/>
      <c r="G58" s="39"/>
      <c r="H58" s="39"/>
      <c r="I58" s="39"/>
      <c r="J58" s="39"/>
      <c r="K58" s="39"/>
      <c r="L58" s="39"/>
      <c r="M58" s="39"/>
      <c r="N58" s="39"/>
      <c r="O58" s="39"/>
      <c r="P58" s="39"/>
      <c r="Q58" s="39"/>
      <c r="R58" s="39"/>
      <c r="S58" s="39"/>
    </row>
    <row r="59" spans="1:19" x14ac:dyDescent="0.25">
      <c r="A59" s="39"/>
      <c r="B59" s="30"/>
      <c r="C59" s="40"/>
      <c r="D59" s="40"/>
      <c r="E59" s="41"/>
      <c r="F59" s="39"/>
      <c r="G59" s="39"/>
      <c r="H59" s="39"/>
      <c r="I59" s="39"/>
      <c r="J59" s="39"/>
      <c r="K59" s="39"/>
      <c r="L59" s="39"/>
      <c r="M59" s="39"/>
      <c r="N59" s="39"/>
      <c r="O59" s="39"/>
      <c r="P59" s="39"/>
      <c r="Q59" s="39"/>
      <c r="R59" s="39"/>
      <c r="S59" s="39"/>
    </row>
    <row r="60" spans="1:19" ht="21" customHeight="1" x14ac:dyDescent="0.25">
      <c r="A60" s="39"/>
      <c r="B60" s="30"/>
      <c r="C60" s="40"/>
      <c r="D60" s="40"/>
      <c r="E60" s="41"/>
      <c r="F60" s="39"/>
      <c r="G60" s="39"/>
      <c r="H60" s="39"/>
      <c r="I60" s="39"/>
      <c r="J60" s="39"/>
      <c r="K60" s="39"/>
      <c r="L60" s="39"/>
      <c r="M60" s="39"/>
      <c r="N60" s="39"/>
      <c r="O60" s="39"/>
      <c r="P60" s="39"/>
      <c r="Q60" s="39"/>
      <c r="R60" s="39"/>
      <c r="S60" s="39"/>
    </row>
    <row r="61" spans="1:19" x14ac:dyDescent="0.25">
      <c r="A61" s="39"/>
      <c r="B61" s="30"/>
      <c r="C61" s="40"/>
      <c r="D61" s="40"/>
      <c r="E61" s="41"/>
      <c r="F61" s="39"/>
      <c r="G61" s="39"/>
      <c r="H61" s="39"/>
      <c r="I61" s="39"/>
      <c r="J61" s="39"/>
      <c r="K61" s="39"/>
      <c r="L61" s="39"/>
      <c r="M61" s="39"/>
      <c r="N61" s="39"/>
      <c r="O61" s="39"/>
      <c r="P61" s="39"/>
      <c r="Q61" s="39"/>
      <c r="R61" s="39"/>
      <c r="S61" s="39"/>
    </row>
    <row r="62" spans="1:19" x14ac:dyDescent="0.25">
      <c r="A62" s="39"/>
      <c r="B62" s="30"/>
      <c r="C62" s="40"/>
      <c r="D62" s="40"/>
      <c r="E62" s="41"/>
      <c r="F62" s="39"/>
      <c r="G62" s="39"/>
      <c r="H62" s="39"/>
      <c r="I62" s="39"/>
      <c r="J62" s="39"/>
      <c r="K62" s="39"/>
      <c r="L62" s="39"/>
      <c r="M62" s="39"/>
      <c r="N62" s="39"/>
      <c r="O62" s="39"/>
      <c r="P62" s="39"/>
      <c r="Q62" s="39"/>
      <c r="R62" s="39"/>
      <c r="S62" s="39"/>
    </row>
    <row r="63" spans="1:19" x14ac:dyDescent="0.25">
      <c r="A63" s="39"/>
      <c r="B63" s="30"/>
      <c r="C63" s="40"/>
      <c r="D63" s="40"/>
      <c r="E63" s="41"/>
      <c r="F63" s="39"/>
      <c r="G63" s="39"/>
      <c r="H63" s="39"/>
      <c r="I63" s="39"/>
      <c r="J63" s="39"/>
      <c r="K63" s="39"/>
      <c r="L63" s="39"/>
      <c r="M63" s="39"/>
      <c r="N63" s="39"/>
      <c r="O63" s="39"/>
      <c r="P63" s="39"/>
      <c r="Q63" s="39"/>
      <c r="R63" s="39"/>
      <c r="S63" s="39"/>
    </row>
    <row r="64" spans="1:19" x14ac:dyDescent="0.25">
      <c r="A64" s="39"/>
      <c r="B64" s="30"/>
      <c r="C64" s="40"/>
      <c r="D64" s="40"/>
      <c r="E64" s="41"/>
      <c r="F64" s="39"/>
      <c r="G64" s="39"/>
      <c r="H64" s="39"/>
      <c r="I64" s="39"/>
      <c r="J64" s="39"/>
      <c r="K64" s="39"/>
      <c r="L64" s="39"/>
      <c r="M64" s="39"/>
      <c r="N64" s="39"/>
      <c r="O64" s="39"/>
      <c r="P64" s="39"/>
      <c r="Q64" s="39"/>
      <c r="R64" s="39"/>
      <c r="S64" s="39"/>
    </row>
    <row r="65" spans="1:19" x14ac:dyDescent="0.25">
      <c r="A65" s="39"/>
      <c r="B65" s="30"/>
      <c r="C65" s="40"/>
      <c r="D65" s="40"/>
      <c r="E65" s="41"/>
      <c r="F65" s="39"/>
      <c r="G65" s="39"/>
      <c r="H65" s="39"/>
      <c r="I65" s="39"/>
      <c r="J65" s="39"/>
      <c r="K65" s="39"/>
      <c r="L65" s="39"/>
      <c r="M65" s="39"/>
      <c r="N65" s="39"/>
      <c r="O65" s="39"/>
      <c r="P65" s="39"/>
      <c r="Q65" s="39"/>
      <c r="R65" s="39"/>
      <c r="S65" s="39"/>
    </row>
    <row r="66" spans="1:19" x14ac:dyDescent="0.25">
      <c r="A66" s="39"/>
      <c r="B66" s="30"/>
      <c r="C66" s="40"/>
      <c r="D66" s="40"/>
      <c r="E66" s="41"/>
      <c r="F66" s="39"/>
      <c r="G66" s="39"/>
      <c r="H66" s="39"/>
      <c r="I66" s="39"/>
      <c r="J66" s="39"/>
      <c r="K66" s="39"/>
      <c r="L66" s="39"/>
      <c r="M66" s="39"/>
      <c r="N66" s="39"/>
      <c r="O66" s="39"/>
      <c r="P66" s="39"/>
      <c r="Q66" s="39"/>
      <c r="R66" s="39"/>
      <c r="S66" s="39"/>
    </row>
    <row r="67" spans="1:19" x14ac:dyDescent="0.25">
      <c r="A67" s="39"/>
      <c r="B67" s="30"/>
      <c r="C67" s="40"/>
      <c r="D67" s="40"/>
      <c r="E67" s="41"/>
      <c r="F67" s="39"/>
      <c r="G67" s="39"/>
      <c r="H67" s="39"/>
      <c r="I67" s="39"/>
      <c r="J67" s="39"/>
      <c r="K67" s="39"/>
      <c r="L67" s="39"/>
      <c r="M67" s="39"/>
      <c r="N67" s="39"/>
      <c r="O67" s="39"/>
      <c r="P67" s="39"/>
      <c r="Q67" s="39"/>
      <c r="R67" s="39"/>
      <c r="S67" s="39"/>
    </row>
    <row r="68" spans="1:19" x14ac:dyDescent="0.25">
      <c r="A68" s="39"/>
      <c r="B68" s="30"/>
      <c r="C68" s="40"/>
      <c r="D68" s="40"/>
      <c r="E68" s="41"/>
      <c r="F68" s="39"/>
      <c r="G68" s="39"/>
      <c r="H68" s="39"/>
      <c r="I68" s="39"/>
      <c r="J68" s="39"/>
      <c r="K68" s="39"/>
      <c r="L68" s="39"/>
      <c r="M68" s="39"/>
      <c r="N68" s="39"/>
      <c r="O68" s="39"/>
      <c r="P68" s="39"/>
      <c r="Q68" s="39"/>
      <c r="R68" s="39"/>
      <c r="S68" s="39"/>
    </row>
    <row r="69" spans="1:19" x14ac:dyDescent="0.25">
      <c r="A69" s="39"/>
      <c r="B69" s="30"/>
      <c r="C69" s="40"/>
      <c r="D69" s="40"/>
      <c r="E69" s="41"/>
      <c r="F69" s="39"/>
      <c r="G69" s="39"/>
      <c r="H69" s="39"/>
      <c r="I69" s="39"/>
      <c r="J69" s="39"/>
      <c r="K69" s="39"/>
      <c r="L69" s="39"/>
      <c r="M69" s="39"/>
      <c r="N69" s="39"/>
      <c r="O69" s="39"/>
      <c r="P69" s="39"/>
      <c r="Q69" s="39"/>
      <c r="R69" s="39"/>
      <c r="S69" s="39"/>
    </row>
    <row r="70" spans="1:19" ht="21" customHeight="1" x14ac:dyDescent="0.25">
      <c r="A70" s="39"/>
      <c r="B70" s="30"/>
      <c r="C70" s="40"/>
      <c r="D70" s="40"/>
      <c r="E70" s="41"/>
      <c r="F70" s="39"/>
      <c r="G70" s="39"/>
      <c r="H70" s="39"/>
      <c r="I70" s="39"/>
      <c r="J70" s="39"/>
      <c r="K70" s="39"/>
      <c r="L70" s="39"/>
      <c r="M70" s="39"/>
      <c r="N70" s="39"/>
      <c r="O70" s="39"/>
      <c r="P70" s="39"/>
      <c r="Q70" s="39"/>
      <c r="R70" s="39"/>
      <c r="S70" s="39"/>
    </row>
    <row r="71" spans="1:19" x14ac:dyDescent="0.25">
      <c r="A71" s="39"/>
      <c r="B71" s="30"/>
      <c r="C71" s="40"/>
      <c r="D71" s="40"/>
      <c r="E71" s="41"/>
      <c r="F71" s="39"/>
      <c r="G71" s="39"/>
      <c r="H71" s="39"/>
      <c r="I71" s="39"/>
      <c r="J71" s="39"/>
      <c r="K71" s="39"/>
      <c r="L71" s="39"/>
      <c r="M71" s="39"/>
      <c r="N71" s="39"/>
      <c r="O71" s="39"/>
      <c r="P71" s="39"/>
      <c r="Q71" s="39"/>
      <c r="R71" s="39"/>
      <c r="S71" s="39"/>
    </row>
    <row r="72" spans="1:19" x14ac:dyDescent="0.25">
      <c r="A72" s="39"/>
      <c r="B72" s="30"/>
      <c r="C72" s="40"/>
      <c r="D72" s="40"/>
      <c r="E72" s="41"/>
      <c r="F72" s="39"/>
      <c r="G72" s="39"/>
      <c r="H72" s="39"/>
      <c r="I72" s="39"/>
      <c r="J72" s="39"/>
      <c r="K72" s="39"/>
      <c r="L72" s="39"/>
      <c r="M72" s="39"/>
      <c r="N72" s="39"/>
      <c r="O72" s="39"/>
      <c r="P72" s="39"/>
      <c r="Q72" s="39"/>
      <c r="R72" s="39"/>
      <c r="S72" s="39"/>
    </row>
    <row r="73" spans="1:19" x14ac:dyDescent="0.25">
      <c r="A73" s="39"/>
      <c r="B73" s="30"/>
      <c r="C73" s="40"/>
      <c r="D73" s="40"/>
      <c r="E73" s="41"/>
      <c r="F73" s="39"/>
      <c r="G73" s="39"/>
      <c r="H73" s="39"/>
      <c r="I73" s="39"/>
      <c r="J73" s="39"/>
      <c r="K73" s="39"/>
      <c r="L73" s="39"/>
      <c r="M73" s="39"/>
      <c r="N73" s="39"/>
      <c r="O73" s="39"/>
      <c r="P73" s="39"/>
      <c r="Q73" s="39"/>
      <c r="R73" s="39"/>
      <c r="S73" s="39"/>
    </row>
    <row r="74" spans="1:19" x14ac:dyDescent="0.25">
      <c r="A74" s="39"/>
      <c r="B74" s="30"/>
      <c r="C74" s="40"/>
      <c r="D74" s="40"/>
      <c r="E74" s="41"/>
      <c r="F74" s="39"/>
      <c r="G74" s="39"/>
      <c r="H74" s="39"/>
      <c r="I74" s="39"/>
      <c r="J74" s="39"/>
      <c r="K74" s="39"/>
      <c r="L74" s="39"/>
      <c r="M74" s="39"/>
      <c r="N74" s="39"/>
      <c r="O74" s="39"/>
      <c r="P74" s="39"/>
      <c r="Q74" s="39"/>
      <c r="R74" s="39"/>
      <c r="S74" s="39"/>
    </row>
    <row r="75" spans="1:19" x14ac:dyDescent="0.25">
      <c r="A75" s="39"/>
      <c r="B75" s="30"/>
      <c r="C75" s="40"/>
      <c r="D75" s="40"/>
      <c r="E75" s="41"/>
      <c r="F75" s="39"/>
      <c r="G75" s="39"/>
      <c r="H75" s="39"/>
      <c r="I75" s="39"/>
      <c r="J75" s="39"/>
      <c r="K75" s="39"/>
      <c r="L75" s="39"/>
      <c r="M75" s="39"/>
      <c r="N75" s="39"/>
      <c r="O75" s="39"/>
      <c r="P75" s="39"/>
      <c r="Q75" s="39"/>
      <c r="R75" s="39"/>
      <c r="S75" s="39"/>
    </row>
    <row r="76" spans="1:19" x14ac:dyDescent="0.25">
      <c r="A76" s="39"/>
      <c r="B76" s="30"/>
      <c r="C76" s="40"/>
      <c r="D76" s="40"/>
      <c r="E76" s="41"/>
      <c r="F76" s="39"/>
      <c r="G76" s="39"/>
      <c r="H76" s="39"/>
      <c r="I76" s="39"/>
      <c r="J76" s="39"/>
      <c r="K76" s="39"/>
      <c r="L76" s="39"/>
      <c r="M76" s="39"/>
      <c r="N76" s="39"/>
      <c r="O76" s="39"/>
      <c r="P76" s="39"/>
      <c r="Q76" s="39"/>
      <c r="R76" s="39"/>
      <c r="S76" s="39"/>
    </row>
    <row r="77" spans="1:19" x14ac:dyDescent="0.25">
      <c r="A77" s="39"/>
      <c r="B77" s="30"/>
      <c r="C77" s="40"/>
      <c r="D77" s="40"/>
      <c r="E77" s="41"/>
      <c r="F77" s="39"/>
      <c r="G77" s="39"/>
      <c r="H77" s="39"/>
      <c r="I77" s="39"/>
      <c r="J77" s="39"/>
      <c r="K77" s="39"/>
      <c r="L77" s="39"/>
      <c r="M77" s="39"/>
      <c r="N77" s="39"/>
      <c r="O77" s="39"/>
      <c r="P77" s="39"/>
      <c r="Q77" s="39"/>
      <c r="R77" s="39"/>
      <c r="S77" s="39"/>
    </row>
    <row r="78" spans="1:19" x14ac:dyDescent="0.25">
      <c r="A78" s="39"/>
      <c r="B78" s="30"/>
      <c r="C78" s="40"/>
      <c r="D78" s="40"/>
      <c r="E78" s="41"/>
      <c r="F78" s="39"/>
      <c r="G78" s="39"/>
      <c r="H78" s="39"/>
      <c r="I78" s="39"/>
      <c r="J78" s="39"/>
      <c r="K78" s="39"/>
      <c r="L78" s="39"/>
      <c r="M78" s="39"/>
      <c r="N78" s="39"/>
      <c r="O78" s="39"/>
      <c r="P78" s="39"/>
      <c r="Q78" s="39"/>
      <c r="R78" s="39"/>
      <c r="S78" s="39"/>
    </row>
    <row r="79" spans="1:19" x14ac:dyDescent="0.25">
      <c r="A79" s="39"/>
      <c r="B79" s="30"/>
      <c r="C79" s="40"/>
      <c r="D79" s="40"/>
      <c r="E79" s="41"/>
      <c r="F79" s="39"/>
      <c r="G79" s="39"/>
      <c r="H79" s="39"/>
      <c r="I79" s="39"/>
      <c r="J79" s="39"/>
      <c r="K79" s="39"/>
      <c r="L79" s="39"/>
      <c r="M79" s="39"/>
      <c r="N79" s="39"/>
      <c r="O79" s="39"/>
      <c r="P79" s="39"/>
      <c r="Q79" s="39"/>
      <c r="R79" s="39"/>
      <c r="S79" s="39"/>
    </row>
    <row r="80" spans="1:19" ht="21" customHeight="1" x14ac:dyDescent="0.25">
      <c r="A80" s="39"/>
      <c r="B80" s="30"/>
      <c r="C80" s="40"/>
      <c r="D80" s="40"/>
      <c r="E80" s="41"/>
      <c r="F80" s="39"/>
      <c r="G80" s="39"/>
      <c r="H80" s="39"/>
      <c r="I80" s="39"/>
      <c r="J80" s="39"/>
      <c r="K80" s="39"/>
      <c r="L80" s="39"/>
      <c r="M80" s="39"/>
      <c r="N80" s="39"/>
      <c r="O80" s="39"/>
      <c r="P80" s="39"/>
      <c r="Q80" s="39"/>
      <c r="R80" s="39"/>
      <c r="S80" s="39"/>
    </row>
    <row r="81" spans="1:19" x14ac:dyDescent="0.25">
      <c r="A81" s="39"/>
      <c r="B81" s="30"/>
      <c r="C81" s="40"/>
      <c r="D81" s="40"/>
      <c r="E81" s="41"/>
      <c r="F81" s="39"/>
      <c r="G81" s="39"/>
      <c r="H81" s="39"/>
      <c r="I81" s="39"/>
      <c r="J81" s="39"/>
      <c r="K81" s="39"/>
      <c r="L81" s="39"/>
      <c r="M81" s="39"/>
      <c r="N81" s="39"/>
      <c r="O81" s="39"/>
      <c r="P81" s="39"/>
      <c r="Q81" s="39"/>
      <c r="R81" s="39"/>
      <c r="S81" s="39"/>
    </row>
    <row r="82" spans="1:19" x14ac:dyDescent="0.25">
      <c r="A82" s="39"/>
      <c r="B82" s="30"/>
      <c r="C82" s="40"/>
      <c r="D82" s="40"/>
      <c r="E82" s="41"/>
      <c r="F82" s="39"/>
      <c r="G82" s="39"/>
      <c r="H82" s="39"/>
      <c r="I82" s="39"/>
      <c r="J82" s="39"/>
      <c r="K82" s="39"/>
      <c r="L82" s="39"/>
      <c r="M82" s="39"/>
      <c r="N82" s="39"/>
      <c r="O82" s="39"/>
      <c r="P82" s="39"/>
      <c r="Q82" s="39"/>
      <c r="R82" s="39"/>
      <c r="S82" s="39"/>
    </row>
    <row r="83" spans="1:19" x14ac:dyDescent="0.25">
      <c r="A83" s="39"/>
      <c r="B83" s="30"/>
      <c r="C83" s="40"/>
      <c r="D83" s="40"/>
      <c r="E83" s="41"/>
      <c r="F83" s="39"/>
      <c r="G83" s="39"/>
      <c r="H83" s="39"/>
      <c r="I83" s="39"/>
      <c r="J83" s="39"/>
      <c r="K83" s="39"/>
      <c r="L83" s="39"/>
      <c r="M83" s="39"/>
      <c r="N83" s="39"/>
      <c r="O83" s="39"/>
      <c r="P83" s="39"/>
      <c r="Q83" s="39"/>
      <c r="R83" s="39"/>
      <c r="S83" s="39"/>
    </row>
    <row r="84" spans="1:19" x14ac:dyDescent="0.25">
      <c r="A84" s="39"/>
      <c r="B84" s="30"/>
      <c r="C84" s="40"/>
      <c r="D84" s="40"/>
      <c r="E84" s="41"/>
      <c r="F84" s="39"/>
      <c r="G84" s="39"/>
      <c r="H84" s="39"/>
      <c r="I84" s="39"/>
      <c r="J84" s="39"/>
      <c r="K84" s="39"/>
      <c r="L84" s="39"/>
      <c r="M84" s="39"/>
      <c r="N84" s="39"/>
      <c r="O84" s="39"/>
      <c r="P84" s="39"/>
      <c r="Q84" s="39"/>
      <c r="R84" s="39"/>
      <c r="S84" s="39"/>
    </row>
    <row r="85" spans="1:19" x14ac:dyDescent="0.25">
      <c r="A85" s="39"/>
      <c r="B85" s="30"/>
      <c r="C85" s="40"/>
      <c r="D85" s="40"/>
      <c r="E85" s="41"/>
      <c r="F85" s="39"/>
      <c r="G85" s="39"/>
      <c r="H85" s="39"/>
      <c r="I85" s="39"/>
      <c r="J85" s="39"/>
      <c r="K85" s="39"/>
      <c r="L85" s="39"/>
      <c r="M85" s="39"/>
      <c r="N85" s="39"/>
      <c r="O85" s="39"/>
      <c r="P85" s="39"/>
      <c r="Q85" s="39"/>
      <c r="R85" s="39"/>
      <c r="S85" s="39"/>
    </row>
    <row r="86" spans="1:19" x14ac:dyDescent="0.25">
      <c r="A86" s="39"/>
      <c r="B86" s="30"/>
      <c r="C86" s="40"/>
      <c r="D86" s="40"/>
      <c r="E86" s="41"/>
      <c r="F86" s="39"/>
      <c r="G86" s="39"/>
      <c r="H86" s="39"/>
      <c r="I86" s="39"/>
      <c r="J86" s="39"/>
      <c r="K86" s="39"/>
      <c r="L86" s="39"/>
      <c r="M86" s="39"/>
      <c r="N86" s="39"/>
      <c r="O86" s="39"/>
      <c r="P86" s="39"/>
      <c r="Q86" s="39"/>
      <c r="R86" s="39"/>
      <c r="S86" s="39"/>
    </row>
    <row r="87" spans="1:19" x14ac:dyDescent="0.25">
      <c r="A87" s="39"/>
      <c r="B87" s="30"/>
      <c r="C87" s="40"/>
      <c r="D87" s="40"/>
      <c r="E87" s="41"/>
      <c r="F87" s="39"/>
      <c r="G87" s="39"/>
      <c r="H87" s="39"/>
      <c r="I87" s="39"/>
      <c r="J87" s="39"/>
      <c r="K87" s="39"/>
      <c r="L87" s="39"/>
      <c r="M87" s="39"/>
      <c r="N87" s="39"/>
      <c r="O87" s="39"/>
      <c r="P87" s="39"/>
      <c r="Q87" s="39"/>
      <c r="R87" s="39"/>
      <c r="S87" s="39"/>
    </row>
    <row r="88" spans="1:19" x14ac:dyDescent="0.25">
      <c r="A88" s="39"/>
      <c r="B88" s="30"/>
      <c r="C88" s="40"/>
      <c r="D88" s="40"/>
      <c r="E88" s="41"/>
      <c r="F88" s="39"/>
      <c r="G88" s="39"/>
      <c r="H88" s="39"/>
      <c r="I88" s="39"/>
      <c r="J88" s="39"/>
      <c r="K88" s="39"/>
      <c r="L88" s="39"/>
      <c r="M88" s="39"/>
      <c r="N88" s="39"/>
      <c r="O88" s="39"/>
      <c r="P88" s="39"/>
      <c r="Q88" s="39"/>
      <c r="R88" s="39"/>
      <c r="S88" s="39"/>
    </row>
    <row r="89" spans="1:19" x14ac:dyDescent="0.25">
      <c r="A89" s="39"/>
      <c r="B89" s="30"/>
      <c r="C89" s="40"/>
      <c r="D89" s="40"/>
      <c r="E89" s="41"/>
      <c r="F89" s="39"/>
      <c r="G89" s="39"/>
      <c r="H89" s="39"/>
      <c r="I89" s="39"/>
      <c r="J89" s="39"/>
      <c r="K89" s="39"/>
      <c r="L89" s="39"/>
      <c r="M89" s="39"/>
      <c r="N89" s="39"/>
      <c r="O89" s="39"/>
      <c r="P89" s="39"/>
      <c r="Q89" s="39"/>
      <c r="R89" s="39"/>
      <c r="S89" s="39"/>
    </row>
    <row r="90" spans="1:19" ht="21" customHeight="1" x14ac:dyDescent="0.25">
      <c r="A90" s="39"/>
      <c r="B90" s="30"/>
      <c r="C90" s="40"/>
      <c r="D90" s="40"/>
      <c r="E90" s="41"/>
      <c r="F90" s="39"/>
      <c r="G90" s="39"/>
      <c r="H90" s="39"/>
      <c r="I90" s="39"/>
      <c r="J90" s="39"/>
      <c r="K90" s="39"/>
      <c r="L90" s="39"/>
      <c r="M90" s="39"/>
      <c r="N90" s="39"/>
      <c r="O90" s="39"/>
      <c r="P90" s="39"/>
      <c r="Q90" s="39"/>
      <c r="R90" s="39"/>
      <c r="S90" s="39"/>
    </row>
    <row r="91" spans="1:19" x14ac:dyDescent="0.25">
      <c r="A91" s="39"/>
      <c r="B91" s="30"/>
      <c r="C91" s="40"/>
      <c r="D91" s="40"/>
      <c r="E91" s="41"/>
      <c r="F91" s="39"/>
      <c r="G91" s="39"/>
      <c r="H91" s="39"/>
      <c r="I91" s="39"/>
      <c r="J91" s="39"/>
      <c r="K91" s="39"/>
      <c r="L91" s="39"/>
      <c r="M91" s="39"/>
      <c r="N91" s="39"/>
      <c r="O91" s="39"/>
      <c r="P91" s="39"/>
      <c r="Q91" s="39"/>
      <c r="R91" s="39"/>
      <c r="S91" s="39"/>
    </row>
    <row r="92" spans="1:19" x14ac:dyDescent="0.25">
      <c r="A92" s="39"/>
      <c r="B92" s="30"/>
      <c r="C92" s="40"/>
      <c r="D92" s="40"/>
      <c r="E92" s="41"/>
      <c r="F92" s="39"/>
      <c r="G92" s="39"/>
      <c r="H92" s="39"/>
      <c r="I92" s="39"/>
      <c r="J92" s="39"/>
      <c r="K92" s="39"/>
      <c r="L92" s="39"/>
      <c r="M92" s="39"/>
      <c r="N92" s="39"/>
      <c r="O92" s="39"/>
      <c r="P92" s="39"/>
      <c r="Q92" s="39"/>
      <c r="R92" s="39"/>
      <c r="S92" s="39"/>
    </row>
    <row r="93" spans="1:19" x14ac:dyDescent="0.25">
      <c r="A93" s="39"/>
      <c r="B93" s="30"/>
      <c r="C93" s="40"/>
      <c r="D93" s="40"/>
      <c r="E93" s="41"/>
      <c r="F93" s="39"/>
      <c r="G93" s="39"/>
      <c r="H93" s="39"/>
      <c r="I93" s="39"/>
      <c r="J93" s="39"/>
      <c r="K93" s="39"/>
      <c r="L93" s="39"/>
      <c r="M93" s="39"/>
      <c r="N93" s="39"/>
      <c r="O93" s="39"/>
      <c r="P93" s="39"/>
      <c r="Q93" s="39"/>
      <c r="R93" s="39"/>
      <c r="S93" s="39"/>
    </row>
    <row r="94" spans="1:19" x14ac:dyDescent="0.25">
      <c r="A94" s="39"/>
      <c r="B94" s="30"/>
      <c r="C94" s="40"/>
      <c r="D94" s="40"/>
      <c r="E94" s="41"/>
      <c r="F94" s="39"/>
      <c r="G94" s="39"/>
      <c r="H94" s="39"/>
      <c r="I94" s="39"/>
      <c r="J94" s="39"/>
      <c r="K94" s="39"/>
      <c r="L94" s="39"/>
      <c r="M94" s="39"/>
      <c r="N94" s="39"/>
      <c r="O94" s="39"/>
      <c r="P94" s="39"/>
      <c r="Q94" s="39"/>
      <c r="R94" s="39"/>
      <c r="S94" s="39"/>
    </row>
    <row r="95" spans="1:19" x14ac:dyDescent="0.25">
      <c r="A95" s="39"/>
      <c r="B95" s="30"/>
      <c r="C95" s="40"/>
      <c r="D95" s="40"/>
      <c r="E95" s="41"/>
      <c r="F95" s="39"/>
      <c r="G95" s="39"/>
      <c r="H95" s="39"/>
      <c r="I95" s="39"/>
      <c r="J95" s="39"/>
      <c r="K95" s="39"/>
      <c r="L95" s="39"/>
      <c r="M95" s="39"/>
      <c r="N95" s="39"/>
      <c r="O95" s="39"/>
      <c r="P95" s="39"/>
      <c r="Q95" s="39"/>
      <c r="R95" s="39"/>
      <c r="S95" s="39"/>
    </row>
    <row r="96" spans="1:19" x14ac:dyDescent="0.25">
      <c r="A96" s="39"/>
      <c r="B96" s="30"/>
      <c r="C96" s="40"/>
      <c r="D96" s="40"/>
      <c r="E96" s="41"/>
      <c r="F96" s="39"/>
      <c r="G96" s="39"/>
      <c r="H96" s="39"/>
      <c r="I96" s="39"/>
      <c r="J96" s="39"/>
      <c r="K96" s="39"/>
      <c r="L96" s="39"/>
      <c r="M96" s="39"/>
      <c r="N96" s="39"/>
      <c r="O96" s="39"/>
      <c r="P96" s="39"/>
      <c r="Q96" s="39"/>
      <c r="R96" s="39"/>
      <c r="S96" s="39"/>
    </row>
    <row r="97" spans="1:19" x14ac:dyDescent="0.25">
      <c r="A97" s="39"/>
      <c r="B97" s="30"/>
      <c r="C97" s="40"/>
      <c r="D97" s="40"/>
      <c r="E97" s="41"/>
      <c r="F97" s="39"/>
      <c r="G97" s="39"/>
      <c r="H97" s="39"/>
      <c r="I97" s="39"/>
      <c r="J97" s="39"/>
      <c r="K97" s="39"/>
      <c r="L97" s="39"/>
      <c r="M97" s="39"/>
      <c r="N97" s="39"/>
      <c r="O97" s="39"/>
      <c r="P97" s="39"/>
      <c r="Q97" s="39"/>
      <c r="R97" s="39"/>
      <c r="S97" s="39"/>
    </row>
    <row r="98" spans="1:19" x14ac:dyDescent="0.25">
      <c r="A98" s="39"/>
      <c r="B98" s="30"/>
      <c r="C98" s="40"/>
      <c r="D98" s="40"/>
      <c r="E98" s="41"/>
      <c r="F98" s="39"/>
      <c r="G98" s="39"/>
      <c r="H98" s="39"/>
      <c r="I98" s="39"/>
      <c r="J98" s="39"/>
      <c r="K98" s="39"/>
      <c r="L98" s="39"/>
      <c r="M98" s="39"/>
      <c r="N98" s="39"/>
      <c r="O98" s="39"/>
      <c r="P98" s="39"/>
      <c r="Q98" s="39"/>
      <c r="R98" s="39"/>
      <c r="S98" s="39"/>
    </row>
    <row r="99" spans="1:19" x14ac:dyDescent="0.25">
      <c r="A99" s="39"/>
      <c r="B99" s="30"/>
      <c r="C99" s="40"/>
      <c r="D99" s="40"/>
      <c r="E99" s="41"/>
      <c r="F99" s="39"/>
      <c r="G99" s="39"/>
      <c r="H99" s="39"/>
      <c r="I99" s="39"/>
      <c r="J99" s="39"/>
      <c r="K99" s="39"/>
      <c r="L99" s="39"/>
      <c r="M99" s="39"/>
      <c r="N99" s="39"/>
      <c r="O99" s="39"/>
      <c r="P99" s="39"/>
      <c r="Q99" s="39"/>
      <c r="R99" s="39"/>
      <c r="S99" s="39"/>
    </row>
    <row r="100" spans="1:19" ht="21" customHeight="1" x14ac:dyDescent="0.25">
      <c r="A100" s="39"/>
      <c r="B100" s="30"/>
      <c r="C100" s="40"/>
      <c r="D100" s="40"/>
      <c r="E100" s="41"/>
      <c r="F100" s="39"/>
      <c r="G100" s="39"/>
      <c r="H100" s="39"/>
      <c r="I100" s="39"/>
      <c r="J100" s="39"/>
      <c r="K100" s="39"/>
      <c r="L100" s="39"/>
      <c r="M100" s="39"/>
      <c r="N100" s="39"/>
      <c r="O100" s="39"/>
      <c r="P100" s="39"/>
      <c r="Q100" s="39"/>
      <c r="R100" s="39"/>
      <c r="S100" s="39"/>
    </row>
    <row r="101" spans="1:19" x14ac:dyDescent="0.25">
      <c r="A101" s="39"/>
      <c r="B101" s="30"/>
      <c r="C101" s="40"/>
      <c r="D101" s="40"/>
      <c r="E101" s="41"/>
      <c r="F101" s="39"/>
      <c r="G101" s="39"/>
      <c r="H101" s="39"/>
      <c r="I101" s="39"/>
      <c r="J101" s="39"/>
      <c r="K101" s="39"/>
      <c r="L101" s="39"/>
      <c r="M101" s="39"/>
      <c r="N101" s="39"/>
      <c r="O101" s="39"/>
      <c r="P101" s="39"/>
      <c r="Q101" s="39"/>
      <c r="R101" s="39"/>
      <c r="S101" s="39"/>
    </row>
    <row r="102" spans="1:19" x14ac:dyDescent="0.25">
      <c r="A102" s="39"/>
      <c r="B102" s="30"/>
      <c r="C102" s="40"/>
      <c r="D102" s="40"/>
      <c r="E102" s="41"/>
      <c r="F102" s="39"/>
      <c r="G102" s="39"/>
      <c r="H102" s="39"/>
      <c r="I102" s="39"/>
      <c r="J102" s="39"/>
      <c r="K102" s="39"/>
      <c r="L102" s="39"/>
      <c r="M102" s="39"/>
      <c r="N102" s="39"/>
      <c r="O102" s="39"/>
      <c r="P102" s="39"/>
      <c r="Q102" s="39"/>
      <c r="R102" s="39"/>
      <c r="S102" s="39"/>
    </row>
    <row r="103" spans="1:19" x14ac:dyDescent="0.25">
      <c r="A103" s="39"/>
      <c r="B103" s="30"/>
      <c r="C103" s="40"/>
      <c r="D103" s="40"/>
      <c r="E103" s="41"/>
      <c r="F103" s="39"/>
      <c r="G103" s="39"/>
      <c r="H103" s="39"/>
      <c r="I103" s="39"/>
      <c r="J103" s="39"/>
      <c r="K103" s="39"/>
      <c r="L103" s="39"/>
      <c r="M103" s="39"/>
      <c r="N103" s="39"/>
      <c r="O103" s="39"/>
      <c r="P103" s="39"/>
      <c r="Q103" s="39"/>
      <c r="R103" s="39"/>
      <c r="S103" s="39"/>
    </row>
    <row r="104" spans="1:19" x14ac:dyDescent="0.25">
      <c r="A104" s="39"/>
      <c r="B104" s="30"/>
      <c r="C104" s="40"/>
      <c r="D104" s="40"/>
      <c r="E104" s="41"/>
      <c r="F104" s="39"/>
      <c r="G104" s="39"/>
      <c r="H104" s="39"/>
      <c r="I104" s="39"/>
      <c r="J104" s="39"/>
      <c r="K104" s="39"/>
      <c r="L104" s="39"/>
      <c r="M104" s="39"/>
      <c r="N104" s="39"/>
      <c r="O104" s="39"/>
      <c r="P104" s="39"/>
      <c r="Q104" s="39"/>
      <c r="R104" s="39"/>
      <c r="S104" s="39"/>
    </row>
    <row r="105" spans="1:19" x14ac:dyDescent="0.25">
      <c r="A105" s="39"/>
      <c r="B105" s="30"/>
      <c r="C105" s="40"/>
      <c r="D105" s="40"/>
      <c r="E105" s="41"/>
      <c r="F105" s="39"/>
      <c r="G105" s="39"/>
      <c r="H105" s="39"/>
      <c r="I105" s="39"/>
      <c r="J105" s="39"/>
      <c r="K105" s="39"/>
      <c r="L105" s="39"/>
      <c r="M105" s="39"/>
      <c r="N105" s="39"/>
      <c r="O105" s="39"/>
      <c r="P105" s="39"/>
      <c r="Q105" s="39"/>
      <c r="R105" s="39"/>
      <c r="S105" s="39"/>
    </row>
    <row r="106" spans="1:19" x14ac:dyDescent="0.25">
      <c r="A106" s="39"/>
      <c r="B106" s="30"/>
      <c r="C106" s="40"/>
      <c r="D106" s="40"/>
      <c r="E106" s="41"/>
      <c r="F106" s="39"/>
      <c r="G106" s="39"/>
      <c r="H106" s="39"/>
      <c r="I106" s="39"/>
      <c r="J106" s="39"/>
      <c r="K106" s="39"/>
      <c r="L106" s="39"/>
      <c r="M106" s="39"/>
      <c r="N106" s="39"/>
      <c r="O106" s="39"/>
      <c r="P106" s="39"/>
      <c r="Q106" s="39"/>
      <c r="R106" s="39"/>
      <c r="S106" s="39"/>
    </row>
    <row r="107" spans="1:19" x14ac:dyDescent="0.25">
      <c r="A107" s="39"/>
      <c r="B107" s="30"/>
      <c r="C107" s="40"/>
      <c r="D107" s="40"/>
      <c r="E107" s="41"/>
      <c r="F107" s="39"/>
      <c r="G107" s="39"/>
      <c r="H107" s="39"/>
      <c r="I107" s="39"/>
      <c r="J107" s="39"/>
      <c r="K107" s="39"/>
      <c r="L107" s="39"/>
      <c r="M107" s="39"/>
      <c r="N107" s="39"/>
      <c r="O107" s="39"/>
      <c r="P107" s="39"/>
      <c r="Q107" s="39"/>
      <c r="R107" s="39"/>
      <c r="S107" s="39"/>
    </row>
    <row r="110" spans="1:19" ht="21" customHeight="1" x14ac:dyDescent="0.25"/>
    <row r="120" ht="21" customHeight="1" x14ac:dyDescent="0.25"/>
    <row r="130" ht="21" customHeight="1" x14ac:dyDescent="0.25"/>
  </sheetData>
  <sheetProtection sheet="1" selectLockedCells="1"/>
  <mergeCells count="5">
    <mergeCell ref="C31:H31"/>
    <mergeCell ref="C32:G32"/>
    <mergeCell ref="C6:G6"/>
    <mergeCell ref="I5:O21"/>
    <mergeCell ref="I2:O4"/>
  </mergeCells>
  <printOptions horizontalCentered="1"/>
  <pageMargins left="0.5" right="0.5" top="0.5" bottom="0.5" header="0.2" footer="0.2"/>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bmitForm">
                <anchor moveWithCells="1" sizeWithCells="1">
                  <from>
                    <xdr:col>5</xdr:col>
                    <xdr:colOff>487680</xdr:colOff>
                    <xdr:row>4</xdr:row>
                    <xdr:rowOff>22860</xdr:rowOff>
                  </from>
                  <to>
                    <xdr:col>6</xdr:col>
                    <xdr:colOff>220980</xdr:colOff>
                    <xdr:row>5</xdr:row>
                    <xdr:rowOff>236220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153"/>
  <sheetViews>
    <sheetView showGridLines="0" rightToLeft="1" zoomScaleNormal="100" workbookViewId="0">
      <selection activeCell="I13" sqref="I13"/>
    </sheetView>
  </sheetViews>
  <sheetFormatPr defaultRowHeight="21.6" x14ac:dyDescent="0.65"/>
  <cols>
    <col min="1" max="1" width="14.44140625" style="12" customWidth="1"/>
    <col min="2" max="5" width="14.44140625" style="13" customWidth="1"/>
    <col min="6" max="9" width="10.33203125" style="18" customWidth="1"/>
    <col min="10" max="10" width="14.44140625" style="18" customWidth="1"/>
    <col min="11" max="11" width="9.109375" style="15" customWidth="1"/>
    <col min="12" max="12" width="9.109375" style="16" customWidth="1"/>
    <col min="13" max="16384" width="8.88671875" style="17"/>
  </cols>
  <sheetData>
    <row r="1" spans="2:10" x14ac:dyDescent="0.65">
      <c r="F1" s="14"/>
      <c r="G1" s="14"/>
      <c r="H1" s="14"/>
      <c r="I1" s="14"/>
      <c r="J1" s="9"/>
    </row>
    <row r="2" spans="2:10" ht="22.2" thickBot="1" x14ac:dyDescent="0.7">
      <c r="B2" s="33" t="s">
        <v>46</v>
      </c>
      <c r="C2" s="34" t="s">
        <v>8</v>
      </c>
      <c r="D2" s="35" t="s">
        <v>9</v>
      </c>
      <c r="J2" s="9"/>
    </row>
    <row r="3" spans="2:10" ht="21" customHeight="1" x14ac:dyDescent="0.65">
      <c r="B3" s="31">
        <v>1</v>
      </c>
      <c r="C3" s="11">
        <f>Questions!F8</f>
        <v>0</v>
      </c>
      <c r="D3" s="32">
        <f>Questions!F9</f>
        <v>0</v>
      </c>
      <c r="F3" s="98" t="s">
        <v>166</v>
      </c>
      <c r="G3" s="99" t="s">
        <v>167</v>
      </c>
      <c r="H3" s="99" t="s">
        <v>165</v>
      </c>
      <c r="I3" s="100" t="s">
        <v>164</v>
      </c>
      <c r="J3" s="9"/>
    </row>
    <row r="4" spans="2:10" x14ac:dyDescent="0.65">
      <c r="B4" s="31">
        <v>2</v>
      </c>
      <c r="C4" s="11">
        <f>Questions!F11</f>
        <v>0</v>
      </c>
      <c r="D4" s="32">
        <f>Questions!F12</f>
        <v>0</v>
      </c>
      <c r="F4" s="101">
        <f>(C3+C7+C11+C15+C19+C23+C27+C31+C35+C39+C43+C47+C51+C55+C59)/15</f>
        <v>0</v>
      </c>
      <c r="G4" s="102">
        <f>(C4+C8+C12+C16+C20+C24+C28+C32+C36+C40+C44+C48+C52+C56+C60)/15</f>
        <v>0</v>
      </c>
      <c r="H4" s="102">
        <f>(C5+C9+C13+C17+C21+C25+C29+C33+C37+C41+C45+C49+C53+C57+C61)/15</f>
        <v>0</v>
      </c>
      <c r="I4" s="103">
        <f>(D6+D10+D14+D18+D22+D26+D30+D34+D38+D42+D46+D50+D54+D58+D62)/15</f>
        <v>0</v>
      </c>
      <c r="J4" s="9"/>
    </row>
    <row r="5" spans="2:10" x14ac:dyDescent="0.65">
      <c r="B5" s="31">
        <v>3</v>
      </c>
      <c r="C5" s="11">
        <f>Questions!F14</f>
        <v>0</v>
      </c>
      <c r="D5" s="32">
        <f>Questions!F15</f>
        <v>0</v>
      </c>
      <c r="F5" s="104">
        <f>1-F$4</f>
        <v>1</v>
      </c>
      <c r="G5" s="105">
        <f>1-G$4</f>
        <v>1</v>
      </c>
      <c r="H5" s="105">
        <f>1-H$4</f>
        <v>1</v>
      </c>
      <c r="I5" s="95">
        <f>1-I$4</f>
        <v>1</v>
      </c>
      <c r="J5" s="9"/>
    </row>
    <row r="6" spans="2:10" x14ac:dyDescent="0.65">
      <c r="B6" s="31">
        <v>4</v>
      </c>
      <c r="C6" s="11">
        <f>Questions!F17</f>
        <v>0</v>
      </c>
      <c r="D6" s="32">
        <f>Questions!F18</f>
        <v>0</v>
      </c>
      <c r="F6" s="54" t="s">
        <v>2</v>
      </c>
      <c r="G6" s="55" t="s">
        <v>3</v>
      </c>
      <c r="H6" s="55" t="s">
        <v>5</v>
      </c>
      <c r="I6" s="56" t="s">
        <v>7</v>
      </c>
      <c r="J6" s="9"/>
    </row>
    <row r="7" spans="2:10" x14ac:dyDescent="0.65">
      <c r="B7" s="31">
        <v>5</v>
      </c>
      <c r="C7" s="11">
        <f>Questions!F20</f>
        <v>0</v>
      </c>
      <c r="D7" s="32">
        <f>Questions!F21</f>
        <v>0</v>
      </c>
      <c r="F7" s="54" t="s">
        <v>0</v>
      </c>
      <c r="G7" s="55" t="s">
        <v>1</v>
      </c>
      <c r="H7" s="55" t="s">
        <v>4</v>
      </c>
      <c r="I7" s="56" t="s">
        <v>6</v>
      </c>
      <c r="J7" s="19"/>
    </row>
    <row r="8" spans="2:10" ht="22.2" thickBot="1" x14ac:dyDescent="0.7">
      <c r="B8" s="31">
        <v>6</v>
      </c>
      <c r="C8" s="11">
        <f>Questions!F23</f>
        <v>0</v>
      </c>
      <c r="D8" s="32">
        <f>Questions!F24</f>
        <v>0</v>
      </c>
      <c r="F8" s="50" t="str">
        <f>IF(F4&gt;0.5,F6,F7)</f>
        <v>E</v>
      </c>
      <c r="G8" s="106" t="str">
        <f t="shared" ref="G8:I8" si="0">IF(G4&gt;0.5,G6,G7)</f>
        <v>N</v>
      </c>
      <c r="H8" s="106" t="str">
        <f t="shared" si="0"/>
        <v>F</v>
      </c>
      <c r="I8" s="107" t="str">
        <f t="shared" si="0"/>
        <v>P</v>
      </c>
      <c r="J8" s="9"/>
    </row>
    <row r="9" spans="2:10" x14ac:dyDescent="0.65">
      <c r="B9" s="31">
        <v>7</v>
      </c>
      <c r="C9" s="11">
        <f>Questions!F26</f>
        <v>0</v>
      </c>
      <c r="D9" s="32">
        <f>Questions!F27</f>
        <v>0</v>
      </c>
      <c r="J9" s="9"/>
    </row>
    <row r="10" spans="2:10" x14ac:dyDescent="0.65">
      <c r="B10" s="31">
        <v>8</v>
      </c>
      <c r="C10" s="11">
        <f>Questions!F29</f>
        <v>0</v>
      </c>
      <c r="D10" s="32">
        <f>Questions!F30</f>
        <v>0</v>
      </c>
      <c r="J10" s="9"/>
    </row>
    <row r="11" spans="2:10" x14ac:dyDescent="0.65">
      <c r="B11" s="31">
        <v>9</v>
      </c>
      <c r="C11" s="11">
        <f>Questions!F32</f>
        <v>0</v>
      </c>
      <c r="D11" s="32">
        <f>Questions!F33</f>
        <v>0</v>
      </c>
      <c r="F11" s="9"/>
      <c r="G11" s="9"/>
      <c r="H11" s="9"/>
      <c r="I11" s="9"/>
      <c r="J11" s="9"/>
    </row>
    <row r="12" spans="2:10" x14ac:dyDescent="0.65">
      <c r="B12" s="31">
        <v>10</v>
      </c>
      <c r="C12" s="11">
        <f>Questions!F35</f>
        <v>0</v>
      </c>
      <c r="D12" s="32">
        <f>Questions!F36</f>
        <v>0</v>
      </c>
    </row>
    <row r="13" spans="2:10" ht="21" customHeight="1" x14ac:dyDescent="0.65">
      <c r="B13" s="31">
        <v>11</v>
      </c>
      <c r="C13" s="11">
        <f>Questions!F38</f>
        <v>0</v>
      </c>
      <c r="D13" s="32">
        <f>Questions!F39</f>
        <v>0</v>
      </c>
    </row>
    <row r="14" spans="2:10" x14ac:dyDescent="0.65">
      <c r="B14" s="31">
        <v>12</v>
      </c>
      <c r="C14" s="11">
        <f>Questions!F41</f>
        <v>0</v>
      </c>
      <c r="D14" s="32">
        <f>Questions!F42</f>
        <v>0</v>
      </c>
    </row>
    <row r="15" spans="2:10" x14ac:dyDescent="0.65">
      <c r="B15" s="31">
        <v>13</v>
      </c>
      <c r="C15" s="11">
        <f>Questions!F44</f>
        <v>0</v>
      </c>
      <c r="D15" s="32">
        <f>Questions!F45</f>
        <v>0</v>
      </c>
    </row>
    <row r="16" spans="2:10" x14ac:dyDescent="0.65">
      <c r="B16" s="31">
        <v>14</v>
      </c>
      <c r="C16" s="11">
        <f>Questions!F47</f>
        <v>0</v>
      </c>
      <c r="D16" s="32">
        <f>Questions!F48</f>
        <v>0</v>
      </c>
    </row>
    <row r="17" spans="2:11" x14ac:dyDescent="0.65">
      <c r="B17" s="31">
        <v>15</v>
      </c>
      <c r="C17" s="11">
        <f>Questions!F50</f>
        <v>0</v>
      </c>
      <c r="D17" s="32">
        <f>Questions!F51</f>
        <v>0</v>
      </c>
    </row>
    <row r="18" spans="2:11" x14ac:dyDescent="0.65">
      <c r="B18" s="31">
        <v>16</v>
      </c>
      <c r="C18" s="11">
        <f>Questions!F53</f>
        <v>0</v>
      </c>
      <c r="D18" s="32">
        <f>Questions!F54</f>
        <v>0</v>
      </c>
      <c r="K18" s="20"/>
    </row>
    <row r="19" spans="2:11" x14ac:dyDescent="0.65">
      <c r="B19" s="31">
        <v>17</v>
      </c>
      <c r="C19" s="11">
        <f>Questions!F56</f>
        <v>0</v>
      </c>
      <c r="D19" s="32">
        <f>Questions!F57</f>
        <v>0</v>
      </c>
      <c r="K19" s="20"/>
    </row>
    <row r="20" spans="2:11" x14ac:dyDescent="0.65">
      <c r="B20" s="31">
        <v>18</v>
      </c>
      <c r="C20" s="11">
        <f>Questions!F59</f>
        <v>0</v>
      </c>
      <c r="D20" s="32">
        <f>Questions!F60</f>
        <v>0</v>
      </c>
      <c r="K20" s="20"/>
    </row>
    <row r="21" spans="2:11" x14ac:dyDescent="0.65">
      <c r="B21" s="31">
        <v>19</v>
      </c>
      <c r="C21" s="11">
        <f>Questions!F62</f>
        <v>0</v>
      </c>
      <c r="D21" s="32">
        <f>Questions!F63</f>
        <v>0</v>
      </c>
      <c r="K21" s="21"/>
    </row>
    <row r="22" spans="2:11" x14ac:dyDescent="0.65">
      <c r="B22" s="31">
        <v>20</v>
      </c>
      <c r="C22" s="11">
        <f>Questions!F65</f>
        <v>0</v>
      </c>
      <c r="D22" s="32">
        <f>Questions!F66</f>
        <v>0</v>
      </c>
      <c r="K22" s="21"/>
    </row>
    <row r="23" spans="2:11" ht="21" customHeight="1" x14ac:dyDescent="0.65">
      <c r="B23" s="31">
        <v>21</v>
      </c>
      <c r="C23" s="11">
        <f>Questions!F68</f>
        <v>0</v>
      </c>
      <c r="D23" s="32">
        <f>Questions!F69</f>
        <v>0</v>
      </c>
      <c r="K23" s="21"/>
    </row>
    <row r="24" spans="2:11" x14ac:dyDescent="0.65">
      <c r="B24" s="31">
        <v>22</v>
      </c>
      <c r="C24" s="11">
        <f>Questions!F71</f>
        <v>0</v>
      </c>
      <c r="D24" s="32">
        <f>Questions!F72</f>
        <v>0</v>
      </c>
      <c r="K24" s="21"/>
    </row>
    <row r="25" spans="2:11" x14ac:dyDescent="0.65">
      <c r="B25" s="31">
        <v>23</v>
      </c>
      <c r="C25" s="11">
        <f>Questions!F74</f>
        <v>0</v>
      </c>
      <c r="D25" s="32">
        <f>Questions!F75</f>
        <v>0</v>
      </c>
      <c r="K25" s="21"/>
    </row>
    <row r="26" spans="2:11" x14ac:dyDescent="0.65">
      <c r="B26" s="31">
        <v>24</v>
      </c>
      <c r="C26" s="11">
        <f>Questions!F77</f>
        <v>0</v>
      </c>
      <c r="D26" s="32">
        <f>Questions!F78</f>
        <v>0</v>
      </c>
    </row>
    <row r="27" spans="2:11" x14ac:dyDescent="0.65">
      <c r="B27" s="31">
        <v>25</v>
      </c>
      <c r="C27" s="11">
        <f>Questions!F80</f>
        <v>0</v>
      </c>
      <c r="D27" s="32">
        <f>Questions!F81</f>
        <v>0</v>
      </c>
      <c r="K27" s="21"/>
    </row>
    <row r="28" spans="2:11" x14ac:dyDescent="0.65">
      <c r="B28" s="31">
        <v>26</v>
      </c>
      <c r="C28" s="11">
        <f>Questions!F83</f>
        <v>0</v>
      </c>
      <c r="D28" s="32">
        <f>Questions!F84</f>
        <v>0</v>
      </c>
      <c r="K28" s="21"/>
    </row>
    <row r="29" spans="2:11" x14ac:dyDescent="0.65">
      <c r="B29" s="31">
        <v>27</v>
      </c>
      <c r="C29" s="11">
        <f>Questions!F86</f>
        <v>0</v>
      </c>
      <c r="D29" s="32">
        <f>Questions!F87</f>
        <v>0</v>
      </c>
      <c r="K29" s="21"/>
    </row>
    <row r="30" spans="2:11" x14ac:dyDescent="0.65">
      <c r="B30" s="31">
        <v>28</v>
      </c>
      <c r="C30" s="11">
        <f>Questions!F89</f>
        <v>0</v>
      </c>
      <c r="D30" s="32">
        <f>Questions!F90</f>
        <v>0</v>
      </c>
      <c r="K30" s="21"/>
    </row>
    <row r="31" spans="2:11" x14ac:dyDescent="0.65">
      <c r="B31" s="31">
        <v>29</v>
      </c>
      <c r="C31" s="11">
        <f>Questions!F92</f>
        <v>0</v>
      </c>
      <c r="D31" s="32">
        <f>Questions!F93</f>
        <v>0</v>
      </c>
      <c r="K31" s="21"/>
    </row>
    <row r="32" spans="2:11" x14ac:dyDescent="0.65">
      <c r="B32" s="31">
        <v>30</v>
      </c>
      <c r="C32" s="11">
        <f>Questions!F95</f>
        <v>0</v>
      </c>
      <c r="D32" s="32">
        <f>Questions!F96</f>
        <v>0</v>
      </c>
      <c r="K32" s="21"/>
    </row>
    <row r="33" spans="2:4" ht="21" customHeight="1" x14ac:dyDescent="0.65">
      <c r="B33" s="31">
        <v>31</v>
      </c>
      <c r="C33" s="11">
        <f>Questions!F98</f>
        <v>0</v>
      </c>
      <c r="D33" s="32">
        <f>Questions!F99</f>
        <v>0</v>
      </c>
    </row>
    <row r="34" spans="2:4" x14ac:dyDescent="0.65">
      <c r="B34" s="31">
        <v>32</v>
      </c>
      <c r="C34" s="11">
        <f>Questions!F101</f>
        <v>0</v>
      </c>
      <c r="D34" s="32">
        <f>Questions!F102</f>
        <v>0</v>
      </c>
    </row>
    <row r="35" spans="2:4" x14ac:dyDescent="0.65">
      <c r="B35" s="31">
        <v>33</v>
      </c>
      <c r="C35" s="11">
        <f>Questions!F104</f>
        <v>0</v>
      </c>
      <c r="D35" s="32">
        <f>Questions!F105</f>
        <v>0</v>
      </c>
    </row>
    <row r="36" spans="2:4" x14ac:dyDescent="0.65">
      <c r="B36" s="31">
        <v>34</v>
      </c>
      <c r="C36" s="11">
        <f>Questions!F107</f>
        <v>0</v>
      </c>
      <c r="D36" s="32">
        <f>Questions!F108</f>
        <v>0</v>
      </c>
    </row>
    <row r="37" spans="2:4" x14ac:dyDescent="0.65">
      <c r="B37" s="31">
        <v>35</v>
      </c>
      <c r="C37" s="11">
        <f>Questions!F110</f>
        <v>0</v>
      </c>
      <c r="D37" s="32">
        <f>Questions!F111</f>
        <v>0</v>
      </c>
    </row>
    <row r="38" spans="2:4" x14ac:dyDescent="0.65">
      <c r="B38" s="31">
        <v>36</v>
      </c>
      <c r="C38" s="11">
        <f>Questions!F113</f>
        <v>0</v>
      </c>
      <c r="D38" s="32">
        <f>Questions!F114</f>
        <v>0</v>
      </c>
    </row>
    <row r="39" spans="2:4" x14ac:dyDescent="0.65">
      <c r="B39" s="31">
        <v>37</v>
      </c>
      <c r="C39" s="11">
        <f>Questions!F116</f>
        <v>0</v>
      </c>
      <c r="D39" s="32">
        <f>Questions!F117</f>
        <v>0</v>
      </c>
    </row>
    <row r="40" spans="2:4" x14ac:dyDescent="0.65">
      <c r="B40" s="31">
        <v>38</v>
      </c>
      <c r="C40" s="11">
        <f>Questions!F119</f>
        <v>0</v>
      </c>
      <c r="D40" s="32">
        <f>Questions!F120</f>
        <v>0</v>
      </c>
    </row>
    <row r="41" spans="2:4" x14ac:dyDescent="0.65">
      <c r="B41" s="31">
        <v>39</v>
      </c>
      <c r="C41" s="11">
        <f>Questions!F122</f>
        <v>0</v>
      </c>
      <c r="D41" s="32">
        <f>Questions!F123</f>
        <v>0</v>
      </c>
    </row>
    <row r="42" spans="2:4" x14ac:dyDescent="0.65">
      <c r="B42" s="31">
        <v>40</v>
      </c>
      <c r="C42" s="11">
        <f>Questions!F125</f>
        <v>0</v>
      </c>
      <c r="D42" s="32">
        <f>Questions!F126</f>
        <v>0</v>
      </c>
    </row>
    <row r="43" spans="2:4" ht="21" customHeight="1" x14ac:dyDescent="0.65">
      <c r="B43" s="31">
        <v>41</v>
      </c>
      <c r="C43" s="11">
        <f>Questions!F128</f>
        <v>0</v>
      </c>
      <c r="D43" s="32">
        <f>Questions!F129</f>
        <v>0</v>
      </c>
    </row>
    <row r="44" spans="2:4" x14ac:dyDescent="0.65">
      <c r="B44" s="31">
        <v>42</v>
      </c>
      <c r="C44" s="11">
        <f>Questions!F131</f>
        <v>0</v>
      </c>
      <c r="D44" s="32">
        <f>Questions!F132</f>
        <v>0</v>
      </c>
    </row>
    <row r="45" spans="2:4" x14ac:dyDescent="0.65">
      <c r="B45" s="31">
        <v>43</v>
      </c>
      <c r="C45" s="11">
        <f>Questions!F134</f>
        <v>0</v>
      </c>
      <c r="D45" s="32">
        <f>Questions!F135</f>
        <v>0</v>
      </c>
    </row>
    <row r="46" spans="2:4" x14ac:dyDescent="0.65">
      <c r="B46" s="31">
        <v>44</v>
      </c>
      <c r="C46" s="11">
        <f>Questions!F137</f>
        <v>0</v>
      </c>
      <c r="D46" s="32">
        <f>Questions!F138</f>
        <v>0</v>
      </c>
    </row>
    <row r="47" spans="2:4" x14ac:dyDescent="0.65">
      <c r="B47" s="31">
        <v>45</v>
      </c>
      <c r="C47" s="11">
        <f>Questions!F140</f>
        <v>0</v>
      </c>
      <c r="D47" s="32">
        <f>Questions!F141</f>
        <v>0</v>
      </c>
    </row>
    <row r="48" spans="2:4" x14ac:dyDescent="0.65">
      <c r="B48" s="31">
        <v>46</v>
      </c>
      <c r="C48" s="11">
        <f>Questions!F143</f>
        <v>0</v>
      </c>
      <c r="D48" s="32">
        <f>Questions!F144</f>
        <v>0</v>
      </c>
    </row>
    <row r="49" spans="2:4" x14ac:dyDescent="0.65">
      <c r="B49" s="31">
        <v>47</v>
      </c>
      <c r="C49" s="11">
        <f>Questions!F146</f>
        <v>0</v>
      </c>
      <c r="D49" s="32">
        <f>Questions!F147</f>
        <v>0</v>
      </c>
    </row>
    <row r="50" spans="2:4" x14ac:dyDescent="0.65">
      <c r="B50" s="31">
        <v>48</v>
      </c>
      <c r="C50" s="11">
        <f>Questions!F149</f>
        <v>0</v>
      </c>
      <c r="D50" s="32">
        <f>Questions!F150</f>
        <v>0</v>
      </c>
    </row>
    <row r="51" spans="2:4" x14ac:dyDescent="0.65">
      <c r="B51" s="31">
        <v>49</v>
      </c>
      <c r="C51" s="11">
        <f>Questions!F152</f>
        <v>0</v>
      </c>
      <c r="D51" s="32">
        <f>Questions!F153</f>
        <v>0</v>
      </c>
    </row>
    <row r="52" spans="2:4" x14ac:dyDescent="0.65">
      <c r="B52" s="31">
        <v>50</v>
      </c>
      <c r="C52" s="11">
        <f>Questions!F155</f>
        <v>0</v>
      </c>
      <c r="D52" s="32">
        <f>Questions!F156</f>
        <v>0</v>
      </c>
    </row>
    <row r="53" spans="2:4" ht="21" customHeight="1" x14ac:dyDescent="0.65">
      <c r="B53" s="31">
        <v>51</v>
      </c>
      <c r="C53" s="11">
        <f>Questions!F158</f>
        <v>0</v>
      </c>
      <c r="D53" s="32">
        <f>Questions!F159</f>
        <v>0</v>
      </c>
    </row>
    <row r="54" spans="2:4" x14ac:dyDescent="0.65">
      <c r="B54" s="31">
        <v>52</v>
      </c>
      <c r="C54" s="11">
        <f>Questions!F161</f>
        <v>0</v>
      </c>
      <c r="D54" s="32">
        <f>Questions!F162</f>
        <v>0</v>
      </c>
    </row>
    <row r="55" spans="2:4" x14ac:dyDescent="0.65">
      <c r="B55" s="31">
        <v>53</v>
      </c>
      <c r="C55" s="11">
        <f>Questions!F164</f>
        <v>0</v>
      </c>
      <c r="D55" s="32">
        <f>Questions!F165</f>
        <v>0</v>
      </c>
    </row>
    <row r="56" spans="2:4" x14ac:dyDescent="0.65">
      <c r="B56" s="31">
        <v>54</v>
      </c>
      <c r="C56" s="11">
        <f>Questions!F167</f>
        <v>0</v>
      </c>
      <c r="D56" s="32">
        <f>Questions!F168</f>
        <v>0</v>
      </c>
    </row>
    <row r="57" spans="2:4" x14ac:dyDescent="0.65">
      <c r="B57" s="31">
        <v>55</v>
      </c>
      <c r="C57" s="11">
        <f>Questions!F170</f>
        <v>0</v>
      </c>
      <c r="D57" s="32">
        <f>Questions!F171</f>
        <v>0</v>
      </c>
    </row>
    <row r="58" spans="2:4" x14ac:dyDescent="0.65">
      <c r="B58" s="31">
        <v>56</v>
      </c>
      <c r="C58" s="11">
        <f>Questions!F173</f>
        <v>0</v>
      </c>
      <c r="D58" s="32">
        <f>Questions!F174</f>
        <v>0</v>
      </c>
    </row>
    <row r="59" spans="2:4" x14ac:dyDescent="0.65">
      <c r="B59" s="31">
        <v>57</v>
      </c>
      <c r="C59" s="11">
        <f>Questions!F176</f>
        <v>0</v>
      </c>
      <c r="D59" s="32">
        <f>Questions!F177</f>
        <v>0</v>
      </c>
    </row>
    <row r="60" spans="2:4" x14ac:dyDescent="0.65">
      <c r="B60" s="31">
        <v>58</v>
      </c>
      <c r="C60" s="11">
        <f>Questions!F179</f>
        <v>0</v>
      </c>
      <c r="D60" s="32">
        <f>Questions!F180</f>
        <v>0</v>
      </c>
    </row>
    <row r="61" spans="2:4" x14ac:dyDescent="0.65">
      <c r="B61" s="31">
        <v>59</v>
      </c>
      <c r="C61" s="11">
        <f>Questions!F182</f>
        <v>0</v>
      </c>
      <c r="D61" s="32">
        <f>Questions!F183</f>
        <v>0</v>
      </c>
    </row>
    <row r="62" spans="2:4" x14ac:dyDescent="0.65">
      <c r="B62" s="36">
        <v>60</v>
      </c>
      <c r="C62" s="37">
        <f>Questions!F185</f>
        <v>0</v>
      </c>
      <c r="D62" s="38">
        <f>Questions!F186</f>
        <v>0</v>
      </c>
    </row>
    <row r="63" spans="2:4" ht="21" customHeight="1" x14ac:dyDescent="0.65"/>
    <row r="73" ht="21" customHeight="1" x14ac:dyDescent="0.65"/>
    <row r="83" ht="21" customHeight="1" x14ac:dyDescent="0.65"/>
    <row r="93" ht="21" customHeight="1" x14ac:dyDescent="0.65"/>
    <row r="103" ht="21" customHeight="1" x14ac:dyDescent="0.65"/>
    <row r="113" ht="21" customHeight="1" x14ac:dyDescent="0.65"/>
    <row r="123" ht="21" customHeight="1" x14ac:dyDescent="0.65"/>
    <row r="133" ht="21" customHeight="1" x14ac:dyDescent="0.65"/>
    <row r="143" ht="21" customHeight="1" x14ac:dyDescent="0.65"/>
    <row r="153" ht="21" customHeight="1" x14ac:dyDescent="0.65"/>
  </sheetData>
  <sheetProtection sheet="1" selectLockedCells="1"/>
  <conditionalFormatting sqref="F6:I6">
    <cfRule type="expression" dxfId="63" priority="2">
      <formula>F$4&gt;0.5</formula>
    </cfRule>
  </conditionalFormatting>
  <conditionalFormatting sqref="F7:I7">
    <cfRule type="expression" dxfId="62" priority="1">
      <formula>F$4&lt;0.5</formula>
    </cfRule>
  </conditionalFormatting>
  <pageMargins left="0.7" right="0.7" top="0.75" bottom="0.75" header="0.3" footer="0.3"/>
  <pageSetup orientation="portrait" horizontalDpi="4294967293"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476B4-C4AF-4A92-A7F4-4658FD8E44DC}">
  <dimension ref="A1:C16"/>
  <sheetViews>
    <sheetView rightToLeft="1" zoomScaleNormal="100" workbookViewId="0">
      <selection activeCell="C1" sqref="C1"/>
    </sheetView>
  </sheetViews>
  <sheetFormatPr defaultRowHeight="21.6" x14ac:dyDescent="0.25"/>
  <cols>
    <col min="1" max="1" width="8.77734375" style="109" customWidth="1"/>
    <col min="2" max="2" width="178.88671875" style="108" customWidth="1"/>
    <col min="3" max="3" width="31.33203125" style="140" customWidth="1"/>
  </cols>
  <sheetData>
    <row r="1" spans="1:3" ht="40.799999999999997" customHeight="1" x14ac:dyDescent="0.25">
      <c r="A1" s="83" t="s">
        <v>204</v>
      </c>
      <c r="B1" s="130" t="s">
        <v>188</v>
      </c>
      <c r="C1" s="10" t="s">
        <v>221</v>
      </c>
    </row>
    <row r="2" spans="1:3" ht="40.799999999999997" customHeight="1" x14ac:dyDescent="0.25">
      <c r="A2" s="83" t="s">
        <v>205</v>
      </c>
      <c r="B2" s="130" t="s">
        <v>189</v>
      </c>
      <c r="C2" s="10" t="s">
        <v>222</v>
      </c>
    </row>
    <row r="3" spans="1:3" ht="40.799999999999997" customHeight="1" x14ac:dyDescent="0.25">
      <c r="A3" s="83" t="s">
        <v>206</v>
      </c>
      <c r="B3" s="130" t="s">
        <v>190</v>
      </c>
      <c r="C3" s="10" t="s">
        <v>223</v>
      </c>
    </row>
    <row r="4" spans="1:3" ht="40.799999999999997" customHeight="1" x14ac:dyDescent="0.25">
      <c r="A4" s="83" t="s">
        <v>207</v>
      </c>
      <c r="B4" s="130" t="s">
        <v>191</v>
      </c>
      <c r="C4" s="10" t="s">
        <v>224</v>
      </c>
    </row>
    <row r="5" spans="1:3" ht="40.799999999999997" customHeight="1" x14ac:dyDescent="0.25">
      <c r="A5" s="83" t="s">
        <v>208</v>
      </c>
      <c r="B5" s="130" t="s">
        <v>192</v>
      </c>
      <c r="C5" s="10" t="s">
        <v>225</v>
      </c>
    </row>
    <row r="6" spans="1:3" ht="40.799999999999997" customHeight="1" x14ac:dyDescent="0.25">
      <c r="A6" s="83" t="s">
        <v>209</v>
      </c>
      <c r="B6" s="130" t="s">
        <v>193</v>
      </c>
      <c r="C6" s="10" t="s">
        <v>226</v>
      </c>
    </row>
    <row r="7" spans="1:3" ht="40.799999999999997" customHeight="1" x14ac:dyDescent="0.25">
      <c r="A7" s="83" t="s">
        <v>210</v>
      </c>
      <c r="B7" s="130" t="s">
        <v>194</v>
      </c>
      <c r="C7" s="10" t="s">
        <v>227</v>
      </c>
    </row>
    <row r="8" spans="1:3" ht="40.799999999999997" customHeight="1" x14ac:dyDescent="0.25">
      <c r="A8" s="83" t="s">
        <v>211</v>
      </c>
      <c r="B8" s="130" t="s">
        <v>195</v>
      </c>
      <c r="C8" s="10" t="s">
        <v>228</v>
      </c>
    </row>
    <row r="9" spans="1:3" ht="40.799999999999997" customHeight="1" x14ac:dyDescent="0.25">
      <c r="A9" s="83" t="s">
        <v>212</v>
      </c>
      <c r="B9" s="130" t="s">
        <v>196</v>
      </c>
      <c r="C9" s="10" t="s">
        <v>229</v>
      </c>
    </row>
    <row r="10" spans="1:3" ht="40.799999999999997" customHeight="1" x14ac:dyDescent="0.25">
      <c r="A10" s="83" t="s">
        <v>213</v>
      </c>
      <c r="B10" s="130" t="s">
        <v>197</v>
      </c>
      <c r="C10" s="10" t="s">
        <v>230</v>
      </c>
    </row>
    <row r="11" spans="1:3" ht="40.799999999999997" customHeight="1" x14ac:dyDescent="0.25">
      <c r="A11" s="83" t="s">
        <v>214</v>
      </c>
      <c r="B11" s="130" t="s">
        <v>198</v>
      </c>
      <c r="C11" s="10" t="s">
        <v>231</v>
      </c>
    </row>
    <row r="12" spans="1:3" ht="40.799999999999997" customHeight="1" x14ac:dyDescent="0.25">
      <c r="A12" s="83" t="s">
        <v>215</v>
      </c>
      <c r="B12" s="130" t="s">
        <v>199</v>
      </c>
      <c r="C12" s="10" t="s">
        <v>232</v>
      </c>
    </row>
    <row r="13" spans="1:3" ht="40.799999999999997" customHeight="1" x14ac:dyDescent="0.25">
      <c r="A13" s="83" t="s">
        <v>216</v>
      </c>
      <c r="B13" s="130" t="s">
        <v>200</v>
      </c>
      <c r="C13" s="10" t="s">
        <v>233</v>
      </c>
    </row>
    <row r="14" spans="1:3" ht="40.799999999999997" customHeight="1" x14ac:dyDescent="0.25">
      <c r="A14" s="83" t="s">
        <v>217</v>
      </c>
      <c r="B14" s="130" t="s">
        <v>201</v>
      </c>
      <c r="C14" s="10" t="s">
        <v>234</v>
      </c>
    </row>
    <row r="15" spans="1:3" ht="40.799999999999997" customHeight="1" x14ac:dyDescent="0.25">
      <c r="A15" s="83" t="s">
        <v>218</v>
      </c>
      <c r="B15" s="130" t="s">
        <v>202</v>
      </c>
      <c r="C15" s="10" t="s">
        <v>235</v>
      </c>
    </row>
    <row r="16" spans="1:3" ht="40.799999999999997" customHeight="1" x14ac:dyDescent="0.25">
      <c r="A16" s="83" t="s">
        <v>219</v>
      </c>
      <c r="B16" s="130" t="s">
        <v>203</v>
      </c>
      <c r="C16" s="10" t="s">
        <v>236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EEB-4C06-484B-A841-AF413F9AD809}">
  <sheetPr codeName="Sheet2"/>
  <dimension ref="A1:K413"/>
  <sheetViews>
    <sheetView showGridLines="0" topLeftCell="A392" workbookViewId="0">
      <selection activeCell="J413" sqref="J413"/>
    </sheetView>
  </sheetViews>
  <sheetFormatPr defaultRowHeight="13.2" x14ac:dyDescent="0.25"/>
  <cols>
    <col min="1" max="1" width="22.44140625" customWidth="1"/>
    <col min="2" max="2" width="10.5546875" style="92" customWidth="1"/>
    <col min="3" max="6" width="10.5546875" customWidth="1"/>
    <col min="7" max="7" width="10.5546875" style="84" customWidth="1"/>
    <col min="8" max="8" width="10.5546875" style="94" customWidth="1"/>
    <col min="9" max="9" width="8.88671875" style="94"/>
    <col min="10" max="10" width="17.33203125" customWidth="1"/>
    <col min="11" max="12" width="8.88671875" customWidth="1"/>
  </cols>
  <sheetData>
    <row r="1" spans="1:11" ht="21.6" x14ac:dyDescent="0.25">
      <c r="A1" s="10" t="s">
        <v>44</v>
      </c>
      <c r="B1" s="91" t="s">
        <v>178</v>
      </c>
      <c r="C1" s="82" t="s">
        <v>12</v>
      </c>
      <c r="D1" s="82" t="s">
        <v>13</v>
      </c>
      <c r="E1" s="82" t="s">
        <v>14</v>
      </c>
      <c r="F1" s="82" t="s">
        <v>15</v>
      </c>
      <c r="G1" s="83" t="s">
        <v>170</v>
      </c>
      <c r="H1" s="93" t="s">
        <v>45</v>
      </c>
      <c r="I1" s="93" t="s">
        <v>179</v>
      </c>
    </row>
    <row r="2" spans="1:11" ht="21.6" x14ac:dyDescent="0.25">
      <c r="A2" s="10" t="s">
        <v>16</v>
      </c>
      <c r="B2" s="91">
        <v>10.1</v>
      </c>
      <c r="C2" s="96">
        <v>0.8</v>
      </c>
      <c r="D2" s="96">
        <v>0.8</v>
      </c>
      <c r="E2" s="96">
        <v>0.93333333333333335</v>
      </c>
      <c r="F2" s="96">
        <v>0.4</v>
      </c>
      <c r="G2" s="83" t="str">
        <f>IF(Table1[[#This Row],[I-E]]&gt;0.5,"I","E") &amp; IF(Table1[[#This Row],[S-N]]&gt;0.5,"S","N") &amp; IF(Table1[[#This Row],[T-F]]&gt;0.5,"T","F") &amp; IF(Table1[[#This Row],[J-P]]&gt;0.5,"J","P")</f>
        <v>ISTP</v>
      </c>
      <c r="H2" s="93">
        <f>VALUE(LEFT(Table1[[#This Row],[Class]], FIND(".",Table1[[#This Row],[Class]])-1))</f>
        <v>10</v>
      </c>
      <c r="I2" s="93">
        <f>VALUE(RIGHT(Table1[[#This Row],[Class]],LEN(Table1[[#This Row],[Class]]) - FIND(".",Table1[[#This Row],[Class]])))</f>
        <v>1</v>
      </c>
    </row>
    <row r="3" spans="1:11" ht="21.6" x14ac:dyDescent="0.25">
      <c r="A3" s="10" t="s">
        <v>17</v>
      </c>
      <c r="B3" s="91">
        <v>10.1</v>
      </c>
      <c r="C3" s="96">
        <v>0.1333333333333333</v>
      </c>
      <c r="D3" s="96">
        <v>0.33333333333333326</v>
      </c>
      <c r="E3" s="96">
        <v>0.33333333333333326</v>
      </c>
      <c r="F3" s="96">
        <v>0.73333333333333328</v>
      </c>
      <c r="G3" s="83" t="str">
        <f>IF(Table1[[#This Row],[I-E]]&gt;0.5,"I","E") &amp; IF(Table1[[#This Row],[S-N]]&gt;0.5,"S","N") &amp; IF(Table1[[#This Row],[T-F]]&gt;0.5,"T","F") &amp; IF(Table1[[#This Row],[J-P]]&gt;0.5,"J","P")</f>
        <v>ENFJ</v>
      </c>
      <c r="H3" s="93">
        <f>VALUE(LEFT(Table1[[#This Row],[Class]], FIND(".",Table1[[#This Row],[Class]])-1))</f>
        <v>10</v>
      </c>
      <c r="I3" s="93">
        <f>VALUE(RIGHT(Table1[[#This Row],[Class]],LEN(Table1[[#This Row],[Class]]) - FIND(".",Table1[[#This Row],[Class]])))</f>
        <v>1</v>
      </c>
    </row>
    <row r="4" spans="1:11" ht="21.6" x14ac:dyDescent="0.25">
      <c r="A4" s="10" t="s">
        <v>18</v>
      </c>
      <c r="B4" s="91">
        <v>10.1</v>
      </c>
      <c r="C4" s="96">
        <v>0.8</v>
      </c>
      <c r="D4" s="96">
        <v>0.4</v>
      </c>
      <c r="E4" s="96">
        <v>0.8666666666666667</v>
      </c>
      <c r="F4" s="96">
        <v>6.6666666666666652E-2</v>
      </c>
      <c r="G4" s="83" t="str">
        <f>IF(Table1[[#This Row],[I-E]]&gt;0.5,"I","E") &amp; IF(Table1[[#This Row],[S-N]]&gt;0.5,"S","N") &amp; IF(Table1[[#This Row],[T-F]]&gt;0.5,"T","F") &amp; IF(Table1[[#This Row],[J-P]]&gt;0.5,"J","P")</f>
        <v>INTP</v>
      </c>
      <c r="H4" s="93">
        <f>VALUE(LEFT(Table1[[#This Row],[Class]], FIND(".",Table1[[#This Row],[Class]])-1))</f>
        <v>10</v>
      </c>
      <c r="I4" s="93">
        <f>VALUE(RIGHT(Table1[[#This Row],[Class]],LEN(Table1[[#This Row],[Class]]) - FIND(".",Table1[[#This Row],[Class]])))</f>
        <v>1</v>
      </c>
      <c r="J4" s="81"/>
      <c r="K4" s="81"/>
    </row>
    <row r="5" spans="1:11" ht="21.6" x14ac:dyDescent="0.25">
      <c r="A5" s="10" t="s">
        <v>19</v>
      </c>
      <c r="B5" s="91">
        <v>10.1</v>
      </c>
      <c r="C5" s="96">
        <v>0.93333333333333335</v>
      </c>
      <c r="D5" s="96">
        <v>0.66666666666666663</v>
      </c>
      <c r="E5" s="96">
        <v>0.93333333333333335</v>
      </c>
      <c r="F5" s="96">
        <v>0.6</v>
      </c>
      <c r="G5" s="83" t="str">
        <f>IF(Table1[[#This Row],[I-E]]&gt;0.5,"I","E") &amp; IF(Table1[[#This Row],[S-N]]&gt;0.5,"S","N") &amp; IF(Table1[[#This Row],[T-F]]&gt;0.5,"T","F") &amp; IF(Table1[[#This Row],[J-P]]&gt;0.5,"J","P")</f>
        <v>ISTJ</v>
      </c>
      <c r="H5" s="93">
        <f>VALUE(LEFT(Table1[[#This Row],[Class]], FIND(".",Table1[[#This Row],[Class]])-1))</f>
        <v>10</v>
      </c>
      <c r="I5" s="93">
        <f>VALUE(RIGHT(Table1[[#This Row],[Class]],LEN(Table1[[#This Row],[Class]]) - FIND(".",Table1[[#This Row],[Class]])))</f>
        <v>1</v>
      </c>
      <c r="J5" s="81"/>
    </row>
    <row r="6" spans="1:11" ht="21.6" x14ac:dyDescent="0.25">
      <c r="A6" s="10" t="s">
        <v>20</v>
      </c>
      <c r="B6" s="91">
        <v>10.1</v>
      </c>
      <c r="C6" s="96">
        <v>0.53333333333333333</v>
      </c>
      <c r="D6" s="96">
        <v>0.46666666666666667</v>
      </c>
      <c r="E6" s="96">
        <v>0.93333333333333335</v>
      </c>
      <c r="F6" s="96">
        <v>0.66666666666666663</v>
      </c>
      <c r="G6" s="83" t="str">
        <f>IF(Table1[[#This Row],[I-E]]&gt;0.5,"I","E") &amp; IF(Table1[[#This Row],[S-N]]&gt;0.5,"S","N") &amp; IF(Table1[[#This Row],[T-F]]&gt;0.5,"T","F") &amp; IF(Table1[[#This Row],[J-P]]&gt;0.5,"J","P")</f>
        <v>INTJ</v>
      </c>
      <c r="H6" s="93">
        <f>VALUE(LEFT(Table1[[#This Row],[Class]], FIND(".",Table1[[#This Row],[Class]])-1))</f>
        <v>10</v>
      </c>
      <c r="I6" s="93">
        <f>VALUE(RIGHT(Table1[[#This Row],[Class]],LEN(Table1[[#This Row],[Class]]) - FIND(".",Table1[[#This Row],[Class]])))</f>
        <v>1</v>
      </c>
      <c r="J6" s="81"/>
      <c r="K6" s="81"/>
    </row>
    <row r="7" spans="1:11" ht="21.6" x14ac:dyDescent="0.25">
      <c r="A7" s="10" t="s">
        <v>21</v>
      </c>
      <c r="B7" s="91">
        <v>10.1</v>
      </c>
      <c r="C7" s="96">
        <v>0.6</v>
      </c>
      <c r="D7" s="96">
        <v>0.66666666666666663</v>
      </c>
      <c r="E7" s="96">
        <v>0.8666666666666667</v>
      </c>
      <c r="F7" s="96">
        <v>0.1333333333333333</v>
      </c>
      <c r="G7" s="83" t="str">
        <f>IF(Table1[[#This Row],[I-E]]&gt;0.5,"I","E") &amp; IF(Table1[[#This Row],[S-N]]&gt;0.5,"S","N") &amp; IF(Table1[[#This Row],[T-F]]&gt;0.5,"T","F") &amp; IF(Table1[[#This Row],[J-P]]&gt;0.5,"J","P")</f>
        <v>ISTP</v>
      </c>
      <c r="H7" s="93">
        <f>VALUE(LEFT(Table1[[#This Row],[Class]], FIND(".",Table1[[#This Row],[Class]])-1))</f>
        <v>10</v>
      </c>
      <c r="I7" s="93">
        <f>VALUE(RIGHT(Table1[[#This Row],[Class]],LEN(Table1[[#This Row],[Class]]) - FIND(".",Table1[[#This Row],[Class]])))</f>
        <v>1</v>
      </c>
    </row>
    <row r="8" spans="1:11" ht="21.6" x14ac:dyDescent="0.25">
      <c r="A8" s="10" t="s">
        <v>22</v>
      </c>
      <c r="B8" s="91">
        <v>9.1</v>
      </c>
      <c r="C8" s="96">
        <v>0.46666666666666667</v>
      </c>
      <c r="D8" s="96">
        <v>0.26666666666666661</v>
      </c>
      <c r="E8" s="96">
        <v>0.73333333333333328</v>
      </c>
      <c r="F8" s="96">
        <v>0.4</v>
      </c>
      <c r="G8" s="83" t="str">
        <f>IF(Table1[[#This Row],[I-E]]&gt;0.5,"I","E") &amp; IF(Table1[[#This Row],[S-N]]&gt;0.5,"S","N") &amp; IF(Table1[[#This Row],[T-F]]&gt;0.5,"T","F") &amp; IF(Table1[[#This Row],[J-P]]&gt;0.5,"J","P")</f>
        <v>ENTP</v>
      </c>
      <c r="H8" s="93">
        <f>VALUE(LEFT(Table1[[#This Row],[Class]], FIND(".",Table1[[#This Row],[Class]])-1))</f>
        <v>9</v>
      </c>
      <c r="I8" s="93">
        <f>VALUE(RIGHT(Table1[[#This Row],[Class]],LEN(Table1[[#This Row],[Class]]) - FIND(".",Table1[[#This Row],[Class]])))</f>
        <v>1</v>
      </c>
    </row>
    <row r="9" spans="1:11" ht="21.6" x14ac:dyDescent="0.25">
      <c r="A9" s="10" t="s">
        <v>23</v>
      </c>
      <c r="B9" s="91">
        <v>9.1</v>
      </c>
      <c r="C9" s="96">
        <v>0.46666666666666667</v>
      </c>
      <c r="D9" s="96">
        <v>0.33333333333333326</v>
      </c>
      <c r="E9" s="96">
        <v>0.8</v>
      </c>
      <c r="F9" s="96">
        <v>0.26666666666666661</v>
      </c>
      <c r="G9" s="83" t="str">
        <f>IF(Table1[[#This Row],[I-E]]&gt;0.5,"I","E") &amp; IF(Table1[[#This Row],[S-N]]&gt;0.5,"S","N") &amp; IF(Table1[[#This Row],[T-F]]&gt;0.5,"T","F") &amp; IF(Table1[[#This Row],[J-P]]&gt;0.5,"J","P")</f>
        <v>ENTP</v>
      </c>
      <c r="H9" s="93">
        <f>VALUE(LEFT(Table1[[#This Row],[Class]], FIND(".",Table1[[#This Row],[Class]])-1))</f>
        <v>9</v>
      </c>
      <c r="I9" s="93">
        <f>VALUE(RIGHT(Table1[[#This Row],[Class]],LEN(Table1[[#This Row],[Class]]) - FIND(".",Table1[[#This Row],[Class]])))</f>
        <v>1</v>
      </c>
    </row>
    <row r="10" spans="1:11" ht="21.6" x14ac:dyDescent="0.25">
      <c r="A10" s="10" t="s">
        <v>24</v>
      </c>
      <c r="B10" s="91">
        <v>9.1</v>
      </c>
      <c r="C10" s="96">
        <v>0.8</v>
      </c>
      <c r="D10" s="96">
        <v>0.33333333333333326</v>
      </c>
      <c r="E10" s="96">
        <v>0.6</v>
      </c>
      <c r="F10" s="96">
        <v>0.19999999999999996</v>
      </c>
      <c r="G10" s="83" t="str">
        <f>IF(Table1[[#This Row],[I-E]]&gt;0.5,"I","E") &amp; IF(Table1[[#This Row],[S-N]]&gt;0.5,"S","N") &amp; IF(Table1[[#This Row],[T-F]]&gt;0.5,"T","F") &amp; IF(Table1[[#This Row],[J-P]]&gt;0.5,"J","P")</f>
        <v>INTP</v>
      </c>
      <c r="H10" s="93">
        <f>VALUE(LEFT(Table1[[#This Row],[Class]], FIND(".",Table1[[#This Row],[Class]])-1))</f>
        <v>9</v>
      </c>
      <c r="I10" s="93">
        <f>VALUE(RIGHT(Table1[[#This Row],[Class]],LEN(Table1[[#This Row],[Class]]) - FIND(".",Table1[[#This Row],[Class]])))</f>
        <v>1</v>
      </c>
    </row>
    <row r="11" spans="1:11" ht="21.6" x14ac:dyDescent="0.25">
      <c r="A11" s="10" t="s">
        <v>25</v>
      </c>
      <c r="B11" s="91">
        <v>8.1</v>
      </c>
      <c r="C11" s="96">
        <v>0.66666666666666663</v>
      </c>
      <c r="D11" s="96">
        <v>0.33333333333333326</v>
      </c>
      <c r="E11" s="96">
        <v>0.4</v>
      </c>
      <c r="F11" s="96">
        <v>0.26666666666666661</v>
      </c>
      <c r="G11" s="83" t="str">
        <f>IF(Table1[[#This Row],[I-E]]&gt;0.5,"I","E") &amp; IF(Table1[[#This Row],[S-N]]&gt;0.5,"S","N") &amp; IF(Table1[[#This Row],[T-F]]&gt;0.5,"T","F") &amp; IF(Table1[[#This Row],[J-P]]&gt;0.5,"J","P")</f>
        <v>INFP</v>
      </c>
      <c r="H11" s="93">
        <f>VALUE(LEFT(Table1[[#This Row],[Class]], FIND(".",Table1[[#This Row],[Class]])-1))</f>
        <v>8</v>
      </c>
      <c r="I11" s="93">
        <f>VALUE(RIGHT(Table1[[#This Row],[Class]],LEN(Table1[[#This Row],[Class]]) - FIND(".",Table1[[#This Row],[Class]])))</f>
        <v>1</v>
      </c>
    </row>
    <row r="12" spans="1:11" ht="21.6" x14ac:dyDescent="0.25">
      <c r="A12" s="10" t="s">
        <v>26</v>
      </c>
      <c r="B12" s="91">
        <v>8.1</v>
      </c>
      <c r="C12" s="96">
        <v>0.8</v>
      </c>
      <c r="D12" s="96">
        <v>0.33333333333333326</v>
      </c>
      <c r="E12" s="96">
        <v>0.93333333333333335</v>
      </c>
      <c r="F12" s="96">
        <v>0.19999999999999996</v>
      </c>
      <c r="G12" s="83" t="str">
        <f>IF(Table1[[#This Row],[I-E]]&gt;0.5,"I","E") &amp; IF(Table1[[#This Row],[S-N]]&gt;0.5,"S","N") &amp; IF(Table1[[#This Row],[T-F]]&gt;0.5,"T","F") &amp; IF(Table1[[#This Row],[J-P]]&gt;0.5,"J","P")</f>
        <v>INTP</v>
      </c>
      <c r="H12" s="93">
        <f>VALUE(LEFT(Table1[[#This Row],[Class]], FIND(".",Table1[[#This Row],[Class]])-1))</f>
        <v>8</v>
      </c>
      <c r="I12" s="93">
        <f>VALUE(RIGHT(Table1[[#This Row],[Class]],LEN(Table1[[#This Row],[Class]]) - FIND(".",Table1[[#This Row],[Class]])))</f>
        <v>1</v>
      </c>
    </row>
    <row r="13" spans="1:11" ht="21.6" x14ac:dyDescent="0.25">
      <c r="A13" s="10" t="s">
        <v>27</v>
      </c>
      <c r="B13" s="91">
        <v>8.1</v>
      </c>
      <c r="C13" s="96">
        <v>0.93333333333333335</v>
      </c>
      <c r="D13" s="96">
        <v>0.4</v>
      </c>
      <c r="E13" s="96">
        <v>0.93333333333333335</v>
      </c>
      <c r="F13" s="96">
        <v>0.66666666666666663</v>
      </c>
      <c r="G13" s="83" t="str">
        <f>IF(Table1[[#This Row],[I-E]]&gt;0.5,"I","E") &amp; IF(Table1[[#This Row],[S-N]]&gt;0.5,"S","N") &amp; IF(Table1[[#This Row],[T-F]]&gt;0.5,"T","F") &amp; IF(Table1[[#This Row],[J-P]]&gt;0.5,"J","P")</f>
        <v>INTJ</v>
      </c>
      <c r="H13" s="93">
        <f>VALUE(LEFT(Table1[[#This Row],[Class]], FIND(".",Table1[[#This Row],[Class]])-1))</f>
        <v>8</v>
      </c>
      <c r="I13" s="93">
        <f>VALUE(RIGHT(Table1[[#This Row],[Class]],LEN(Table1[[#This Row],[Class]]) - FIND(".",Table1[[#This Row],[Class]])))</f>
        <v>1</v>
      </c>
    </row>
    <row r="14" spans="1:11" ht="21.6" x14ac:dyDescent="0.25">
      <c r="A14" s="10" t="s">
        <v>28</v>
      </c>
      <c r="B14" s="91">
        <v>8.1</v>
      </c>
      <c r="C14" s="96">
        <v>0.8</v>
      </c>
      <c r="D14" s="96">
        <v>0.8</v>
      </c>
      <c r="E14" s="96">
        <v>0.93333333333333335</v>
      </c>
      <c r="F14" s="96">
        <v>0.6</v>
      </c>
      <c r="G14" s="83" t="str">
        <f>IF(Table1[[#This Row],[I-E]]&gt;0.5,"I","E") &amp; IF(Table1[[#This Row],[S-N]]&gt;0.5,"S","N") &amp; IF(Table1[[#This Row],[T-F]]&gt;0.5,"T","F") &amp; IF(Table1[[#This Row],[J-P]]&gt;0.5,"J","P")</f>
        <v>ISTJ</v>
      </c>
      <c r="H14" s="93">
        <f>VALUE(LEFT(Table1[[#This Row],[Class]], FIND(".",Table1[[#This Row],[Class]])-1))</f>
        <v>8</v>
      </c>
      <c r="I14" s="93">
        <f>VALUE(RIGHT(Table1[[#This Row],[Class]],LEN(Table1[[#This Row],[Class]]) - FIND(".",Table1[[#This Row],[Class]])))</f>
        <v>1</v>
      </c>
    </row>
    <row r="15" spans="1:11" ht="21.6" x14ac:dyDescent="0.25">
      <c r="A15" s="10" t="s">
        <v>29</v>
      </c>
      <c r="B15" s="91">
        <v>8.1</v>
      </c>
      <c r="C15" s="96">
        <v>0.6</v>
      </c>
      <c r="D15" s="96">
        <v>0.6</v>
      </c>
      <c r="E15" s="96">
        <v>0.46666666666666667</v>
      </c>
      <c r="F15" s="96">
        <v>0.66666666666666663</v>
      </c>
      <c r="G15" s="83" t="str">
        <f>IF(Table1[[#This Row],[I-E]]&gt;0.5,"I","E") &amp; IF(Table1[[#This Row],[S-N]]&gt;0.5,"S","N") &amp; IF(Table1[[#This Row],[T-F]]&gt;0.5,"T","F") &amp; IF(Table1[[#This Row],[J-P]]&gt;0.5,"J","P")</f>
        <v>ISFJ</v>
      </c>
      <c r="H15" s="93">
        <f>VALUE(LEFT(Table1[[#This Row],[Class]], FIND(".",Table1[[#This Row],[Class]])-1))</f>
        <v>8</v>
      </c>
      <c r="I15" s="93">
        <f>VALUE(RIGHT(Table1[[#This Row],[Class]],LEN(Table1[[#This Row],[Class]]) - FIND(".",Table1[[#This Row],[Class]])))</f>
        <v>1</v>
      </c>
    </row>
    <row r="16" spans="1:11" ht="21.6" x14ac:dyDescent="0.25">
      <c r="A16" s="10" t="s">
        <v>30</v>
      </c>
      <c r="B16" s="91">
        <v>8.1</v>
      </c>
      <c r="C16" s="96">
        <v>0.4</v>
      </c>
      <c r="D16" s="96">
        <v>0.33333333333333326</v>
      </c>
      <c r="E16" s="96">
        <v>0.6</v>
      </c>
      <c r="F16" s="96">
        <v>0.6</v>
      </c>
      <c r="G16" s="83" t="str">
        <f>IF(Table1[[#This Row],[I-E]]&gt;0.5,"I","E") &amp; IF(Table1[[#This Row],[S-N]]&gt;0.5,"S","N") &amp; IF(Table1[[#This Row],[T-F]]&gt;0.5,"T","F") &amp; IF(Table1[[#This Row],[J-P]]&gt;0.5,"J","P")</f>
        <v>ENTJ</v>
      </c>
      <c r="H16" s="93">
        <f>VALUE(LEFT(Table1[[#This Row],[Class]], FIND(".",Table1[[#This Row],[Class]])-1))</f>
        <v>8</v>
      </c>
      <c r="I16" s="93">
        <f>VALUE(RIGHT(Table1[[#This Row],[Class]],LEN(Table1[[#This Row],[Class]]) - FIND(".",Table1[[#This Row],[Class]])))</f>
        <v>1</v>
      </c>
    </row>
    <row r="17" spans="1:9" ht="21.6" x14ac:dyDescent="0.25">
      <c r="A17" s="10" t="s">
        <v>31</v>
      </c>
      <c r="B17" s="91">
        <v>8.1</v>
      </c>
      <c r="C17" s="96">
        <v>0.33333333333333326</v>
      </c>
      <c r="D17" s="96">
        <v>0.46666666666666667</v>
      </c>
      <c r="E17" s="96">
        <v>0.8</v>
      </c>
      <c r="F17" s="96">
        <v>0.66666666666666663</v>
      </c>
      <c r="G17" s="83" t="str">
        <f>IF(Table1[[#This Row],[I-E]]&gt;0.5,"I","E") &amp; IF(Table1[[#This Row],[S-N]]&gt;0.5,"S","N") &amp; IF(Table1[[#This Row],[T-F]]&gt;0.5,"T","F") &amp; IF(Table1[[#This Row],[J-P]]&gt;0.5,"J","P")</f>
        <v>ENTJ</v>
      </c>
      <c r="H17" s="93">
        <f>VALUE(LEFT(Table1[[#This Row],[Class]], FIND(".",Table1[[#This Row],[Class]])-1))</f>
        <v>8</v>
      </c>
      <c r="I17" s="93">
        <f>VALUE(RIGHT(Table1[[#This Row],[Class]],LEN(Table1[[#This Row],[Class]]) - FIND(".",Table1[[#This Row],[Class]])))</f>
        <v>1</v>
      </c>
    </row>
    <row r="18" spans="1:9" ht="21.6" x14ac:dyDescent="0.25">
      <c r="A18" s="10" t="s">
        <v>32</v>
      </c>
      <c r="B18" s="91">
        <v>8.1</v>
      </c>
      <c r="C18" s="96">
        <v>0.33333333333333326</v>
      </c>
      <c r="D18" s="96">
        <v>0.46666666666666667</v>
      </c>
      <c r="E18" s="96">
        <v>0.53333333333333333</v>
      </c>
      <c r="F18" s="96">
        <v>0.66666666666666663</v>
      </c>
      <c r="G18" s="83" t="str">
        <f>IF(Table1[[#This Row],[I-E]]&gt;0.5,"I","E") &amp; IF(Table1[[#This Row],[S-N]]&gt;0.5,"S","N") &amp; IF(Table1[[#This Row],[T-F]]&gt;0.5,"T","F") &amp; IF(Table1[[#This Row],[J-P]]&gt;0.5,"J","P")</f>
        <v>ENTJ</v>
      </c>
      <c r="H18" s="93">
        <f>VALUE(LEFT(Table1[[#This Row],[Class]], FIND(".",Table1[[#This Row],[Class]])-1))</f>
        <v>8</v>
      </c>
      <c r="I18" s="93">
        <f>VALUE(RIGHT(Table1[[#This Row],[Class]],LEN(Table1[[#This Row],[Class]]) - FIND(".",Table1[[#This Row],[Class]])))</f>
        <v>1</v>
      </c>
    </row>
    <row r="19" spans="1:9" ht="21.6" x14ac:dyDescent="0.25">
      <c r="A19" s="10" t="s">
        <v>33</v>
      </c>
      <c r="B19" s="91">
        <v>8.1</v>
      </c>
      <c r="C19" s="96">
        <v>0.8</v>
      </c>
      <c r="D19" s="96">
        <v>0.8</v>
      </c>
      <c r="E19" s="96">
        <v>0.8</v>
      </c>
      <c r="F19" s="96">
        <v>0.93333333333333335</v>
      </c>
      <c r="G19" s="83" t="str">
        <f>IF(Table1[[#This Row],[I-E]]&gt;0.5,"I","E") &amp; IF(Table1[[#This Row],[S-N]]&gt;0.5,"S","N") &amp; IF(Table1[[#This Row],[T-F]]&gt;0.5,"T","F") &amp; IF(Table1[[#This Row],[J-P]]&gt;0.5,"J","P")</f>
        <v>ISTJ</v>
      </c>
      <c r="H19" s="93">
        <f>VALUE(LEFT(Table1[[#This Row],[Class]], FIND(".",Table1[[#This Row],[Class]])-1))</f>
        <v>8</v>
      </c>
      <c r="I19" s="93">
        <f>VALUE(RIGHT(Table1[[#This Row],[Class]],LEN(Table1[[#This Row],[Class]]) - FIND(".",Table1[[#This Row],[Class]])))</f>
        <v>1</v>
      </c>
    </row>
    <row r="20" spans="1:9" ht="21.6" x14ac:dyDescent="0.25">
      <c r="A20" s="10" t="s">
        <v>34</v>
      </c>
      <c r="B20" s="91">
        <v>8.1</v>
      </c>
      <c r="C20" s="96">
        <v>0.93333333333333335</v>
      </c>
      <c r="D20" s="96">
        <v>0.46666666666666667</v>
      </c>
      <c r="E20" s="96">
        <v>0.26666666666666661</v>
      </c>
      <c r="F20" s="96">
        <v>0.26666666666666661</v>
      </c>
      <c r="G20" s="83" t="str">
        <f>IF(Table1[[#This Row],[I-E]]&gt;0.5,"I","E") &amp; IF(Table1[[#This Row],[S-N]]&gt;0.5,"S","N") &amp; IF(Table1[[#This Row],[T-F]]&gt;0.5,"T","F") &amp; IF(Table1[[#This Row],[J-P]]&gt;0.5,"J","P")</f>
        <v>INFP</v>
      </c>
      <c r="H20" s="93">
        <f>VALUE(LEFT(Table1[[#This Row],[Class]], FIND(".",Table1[[#This Row],[Class]])-1))</f>
        <v>8</v>
      </c>
      <c r="I20" s="93">
        <f>VALUE(RIGHT(Table1[[#This Row],[Class]],LEN(Table1[[#This Row],[Class]]) - FIND(".",Table1[[#This Row],[Class]])))</f>
        <v>1</v>
      </c>
    </row>
    <row r="21" spans="1:9" ht="21.6" x14ac:dyDescent="0.25">
      <c r="A21" s="10" t="s">
        <v>35</v>
      </c>
      <c r="B21" s="91">
        <v>8.1</v>
      </c>
      <c r="C21" s="96">
        <v>0.8</v>
      </c>
      <c r="D21" s="96">
        <v>0.66666666666666663</v>
      </c>
      <c r="E21" s="96">
        <v>0.8666666666666667</v>
      </c>
      <c r="F21" s="96">
        <v>0.6</v>
      </c>
      <c r="G21" s="83" t="str">
        <f>IF(Table1[[#This Row],[I-E]]&gt;0.5,"I","E") &amp; IF(Table1[[#This Row],[S-N]]&gt;0.5,"S","N") &amp; IF(Table1[[#This Row],[T-F]]&gt;0.5,"T","F") &amp; IF(Table1[[#This Row],[J-P]]&gt;0.5,"J","P")</f>
        <v>ISTJ</v>
      </c>
      <c r="H21" s="93">
        <f>VALUE(LEFT(Table1[[#This Row],[Class]], FIND(".",Table1[[#This Row],[Class]])-1))</f>
        <v>8</v>
      </c>
      <c r="I21" s="93">
        <f>VALUE(RIGHT(Table1[[#This Row],[Class]],LEN(Table1[[#This Row],[Class]]) - FIND(".",Table1[[#This Row],[Class]])))</f>
        <v>1</v>
      </c>
    </row>
    <row r="22" spans="1:9" ht="21.6" x14ac:dyDescent="0.25">
      <c r="A22" s="10" t="s">
        <v>36</v>
      </c>
      <c r="B22" s="91">
        <v>8.1</v>
      </c>
      <c r="C22" s="96">
        <v>0.6</v>
      </c>
      <c r="D22" s="96">
        <v>0.4</v>
      </c>
      <c r="E22" s="96">
        <v>0.8666666666666667</v>
      </c>
      <c r="F22" s="96">
        <v>0.73333333333333328</v>
      </c>
      <c r="G22" s="83" t="str">
        <f>IF(Table1[[#This Row],[I-E]]&gt;0.5,"I","E") &amp; IF(Table1[[#This Row],[S-N]]&gt;0.5,"S","N") &amp; IF(Table1[[#This Row],[T-F]]&gt;0.5,"T","F") &amp; IF(Table1[[#This Row],[J-P]]&gt;0.5,"J","P")</f>
        <v>INTJ</v>
      </c>
      <c r="H22" s="93">
        <f>VALUE(LEFT(Table1[[#This Row],[Class]], FIND(".",Table1[[#This Row],[Class]])-1))</f>
        <v>8</v>
      </c>
      <c r="I22" s="93">
        <f>VALUE(RIGHT(Table1[[#This Row],[Class]],LEN(Table1[[#This Row],[Class]]) - FIND(".",Table1[[#This Row],[Class]])))</f>
        <v>1</v>
      </c>
    </row>
    <row r="23" spans="1:9" ht="21.6" x14ac:dyDescent="0.25">
      <c r="A23" s="10" t="s">
        <v>37</v>
      </c>
      <c r="B23" s="91">
        <v>8.1</v>
      </c>
      <c r="C23" s="96">
        <v>0.8</v>
      </c>
      <c r="D23" s="96">
        <v>0.53333333333333333</v>
      </c>
      <c r="E23" s="96">
        <v>0.73333333333333328</v>
      </c>
      <c r="F23" s="96">
        <v>0.26666666666666661</v>
      </c>
      <c r="G23" s="83" t="str">
        <f>IF(Table1[[#This Row],[I-E]]&gt;0.5,"I","E") &amp; IF(Table1[[#This Row],[S-N]]&gt;0.5,"S","N") &amp; IF(Table1[[#This Row],[T-F]]&gt;0.5,"T","F") &amp; IF(Table1[[#This Row],[J-P]]&gt;0.5,"J","P")</f>
        <v>ISTP</v>
      </c>
      <c r="H23" s="93">
        <f>VALUE(LEFT(Table1[[#This Row],[Class]], FIND(".",Table1[[#This Row],[Class]])-1))</f>
        <v>8</v>
      </c>
      <c r="I23" s="93">
        <f>VALUE(RIGHT(Table1[[#This Row],[Class]],LEN(Table1[[#This Row],[Class]]) - FIND(".",Table1[[#This Row],[Class]])))</f>
        <v>1</v>
      </c>
    </row>
    <row r="24" spans="1:9" ht="21.6" x14ac:dyDescent="0.25">
      <c r="A24" s="10" t="s">
        <v>38</v>
      </c>
      <c r="B24" s="91">
        <v>8.1</v>
      </c>
      <c r="C24" s="96">
        <v>0.6</v>
      </c>
      <c r="D24" s="96">
        <v>0.4</v>
      </c>
      <c r="E24" s="96">
        <v>0.6</v>
      </c>
      <c r="F24" s="96">
        <v>0.6</v>
      </c>
      <c r="G24" s="83" t="str">
        <f>IF(Table1[[#This Row],[I-E]]&gt;0.5,"I","E") &amp; IF(Table1[[#This Row],[S-N]]&gt;0.5,"S","N") &amp; IF(Table1[[#This Row],[T-F]]&gt;0.5,"T","F") &amp; IF(Table1[[#This Row],[J-P]]&gt;0.5,"J","P")</f>
        <v>INTJ</v>
      </c>
      <c r="H24" s="93">
        <f>VALUE(LEFT(Table1[[#This Row],[Class]], FIND(".",Table1[[#This Row],[Class]])-1))</f>
        <v>8</v>
      </c>
      <c r="I24" s="93">
        <f>VALUE(RIGHT(Table1[[#This Row],[Class]],LEN(Table1[[#This Row],[Class]]) - FIND(".",Table1[[#This Row],[Class]])))</f>
        <v>1</v>
      </c>
    </row>
    <row r="25" spans="1:9" ht="21.6" x14ac:dyDescent="0.25">
      <c r="A25" s="10" t="s">
        <v>39</v>
      </c>
      <c r="B25" s="91">
        <v>8.1</v>
      </c>
      <c r="C25" s="96">
        <v>0.1333333333333333</v>
      </c>
      <c r="D25" s="96">
        <v>0.53333333333333333</v>
      </c>
      <c r="E25" s="96">
        <v>0.26666666666666661</v>
      </c>
      <c r="F25" s="96">
        <v>0.6</v>
      </c>
      <c r="G25" s="83" t="str">
        <f>IF(Table1[[#This Row],[I-E]]&gt;0.5,"I","E") &amp; IF(Table1[[#This Row],[S-N]]&gt;0.5,"S","N") &amp; IF(Table1[[#This Row],[T-F]]&gt;0.5,"T","F") &amp; IF(Table1[[#This Row],[J-P]]&gt;0.5,"J","P")</f>
        <v>ESFJ</v>
      </c>
      <c r="H25" s="93">
        <f>VALUE(LEFT(Table1[[#This Row],[Class]], FIND(".",Table1[[#This Row],[Class]])-1))</f>
        <v>8</v>
      </c>
      <c r="I25" s="93">
        <f>VALUE(RIGHT(Table1[[#This Row],[Class]],LEN(Table1[[#This Row],[Class]]) - FIND(".",Table1[[#This Row],[Class]])))</f>
        <v>1</v>
      </c>
    </row>
    <row r="26" spans="1:9" ht="21.6" x14ac:dyDescent="0.25">
      <c r="A26" s="10" t="s">
        <v>40</v>
      </c>
      <c r="B26" s="91">
        <v>8.1</v>
      </c>
      <c r="C26" s="96">
        <v>0.93333333333333335</v>
      </c>
      <c r="D26" s="96">
        <v>0.8</v>
      </c>
      <c r="E26" s="96">
        <v>0.93333333333333335</v>
      </c>
      <c r="F26" s="96">
        <v>0.6</v>
      </c>
      <c r="G26" s="83" t="str">
        <f>IF(Table1[[#This Row],[I-E]]&gt;0.5,"I","E") &amp; IF(Table1[[#This Row],[S-N]]&gt;0.5,"S","N") &amp; IF(Table1[[#This Row],[T-F]]&gt;0.5,"T","F") &amp; IF(Table1[[#This Row],[J-P]]&gt;0.5,"J","P")</f>
        <v>ISTJ</v>
      </c>
      <c r="H26" s="93">
        <f>VALUE(LEFT(Table1[[#This Row],[Class]], FIND(".",Table1[[#This Row],[Class]])-1))</f>
        <v>8</v>
      </c>
      <c r="I26" s="93">
        <f>VALUE(RIGHT(Table1[[#This Row],[Class]],LEN(Table1[[#This Row],[Class]]) - FIND(".",Table1[[#This Row],[Class]])))</f>
        <v>1</v>
      </c>
    </row>
    <row r="27" spans="1:9" ht="21.6" x14ac:dyDescent="0.25">
      <c r="A27" s="10" t="s">
        <v>41</v>
      </c>
      <c r="B27" s="91">
        <v>8.1</v>
      </c>
      <c r="C27" s="96">
        <v>0.33333333333333326</v>
      </c>
      <c r="D27" s="96">
        <v>0.46666666666666667</v>
      </c>
      <c r="E27" s="96">
        <v>6.6666666666666652E-2</v>
      </c>
      <c r="F27" s="96">
        <v>0.33333333333333326</v>
      </c>
      <c r="G27" s="83" t="str">
        <f>IF(Table1[[#This Row],[I-E]]&gt;0.5,"I","E") &amp; IF(Table1[[#This Row],[S-N]]&gt;0.5,"S","N") &amp; IF(Table1[[#This Row],[T-F]]&gt;0.5,"T","F") &amp; IF(Table1[[#This Row],[J-P]]&gt;0.5,"J","P")</f>
        <v>ENFP</v>
      </c>
      <c r="H27" s="93">
        <f>VALUE(LEFT(Table1[[#This Row],[Class]], FIND(".",Table1[[#This Row],[Class]])-1))</f>
        <v>8</v>
      </c>
      <c r="I27" s="93">
        <f>VALUE(RIGHT(Table1[[#This Row],[Class]],LEN(Table1[[#This Row],[Class]]) - FIND(".",Table1[[#This Row],[Class]])))</f>
        <v>1</v>
      </c>
    </row>
    <row r="28" spans="1:9" ht="21.6" x14ac:dyDescent="0.25">
      <c r="A28" s="10" t="s">
        <v>42</v>
      </c>
      <c r="B28" s="91">
        <v>8.1</v>
      </c>
      <c r="C28" s="96">
        <v>0.8666666666666667</v>
      </c>
      <c r="D28" s="96">
        <v>0.33333333333333326</v>
      </c>
      <c r="E28" s="96">
        <v>0.26666666666666661</v>
      </c>
      <c r="F28" s="96">
        <v>0.26666666666666661</v>
      </c>
      <c r="G28" s="83" t="str">
        <f>IF(Table1[[#This Row],[I-E]]&gt;0.5,"I","E") &amp; IF(Table1[[#This Row],[S-N]]&gt;0.5,"S","N") &amp; IF(Table1[[#This Row],[T-F]]&gt;0.5,"T","F") &amp; IF(Table1[[#This Row],[J-P]]&gt;0.5,"J","P")</f>
        <v>INFP</v>
      </c>
      <c r="H28" s="93">
        <f>VALUE(LEFT(Table1[[#This Row],[Class]], FIND(".",Table1[[#This Row],[Class]])-1))</f>
        <v>8</v>
      </c>
      <c r="I28" s="93">
        <f>VALUE(RIGHT(Table1[[#This Row],[Class]],LEN(Table1[[#This Row],[Class]]) - FIND(".",Table1[[#This Row],[Class]])))</f>
        <v>1</v>
      </c>
    </row>
    <row r="29" spans="1:9" ht="21.6" x14ac:dyDescent="0.25">
      <c r="A29" s="10" t="s">
        <v>43</v>
      </c>
      <c r="B29" s="91">
        <v>8.1</v>
      </c>
      <c r="C29" s="96">
        <v>0.46666666666666667</v>
      </c>
      <c r="D29" s="96">
        <v>0.46666666666666667</v>
      </c>
      <c r="E29" s="96">
        <v>1</v>
      </c>
      <c r="F29" s="96">
        <v>0.53333333333333333</v>
      </c>
      <c r="G29" s="83" t="str">
        <f>IF(Table1[[#This Row],[I-E]]&gt;0.5,"I","E") &amp; IF(Table1[[#This Row],[S-N]]&gt;0.5,"S","N") &amp; IF(Table1[[#This Row],[T-F]]&gt;0.5,"T","F") &amp; IF(Table1[[#This Row],[J-P]]&gt;0.5,"J","P")</f>
        <v>ENTJ</v>
      </c>
      <c r="H29" s="93">
        <f>VALUE(LEFT(Table1[[#This Row],[Class]], FIND(".",Table1[[#This Row],[Class]])-1))</f>
        <v>8</v>
      </c>
      <c r="I29" s="93">
        <f>VALUE(RIGHT(Table1[[#This Row],[Class]],LEN(Table1[[#This Row],[Class]]) - FIND(".",Table1[[#This Row],[Class]])))</f>
        <v>1</v>
      </c>
    </row>
    <row r="30" spans="1:9" ht="21.6" x14ac:dyDescent="0.25">
      <c r="A30" s="10">
        <v>7101</v>
      </c>
      <c r="B30" s="91">
        <v>7.1</v>
      </c>
      <c r="C30" s="96">
        <v>0.73333333333333328</v>
      </c>
      <c r="D30" s="96">
        <v>0.53333333333333333</v>
      </c>
      <c r="E30" s="96">
        <v>0.73333333333333328</v>
      </c>
      <c r="F30" s="96">
        <v>0.73333333333333328</v>
      </c>
      <c r="G30" s="83" t="str">
        <f>IF(Table1[[#This Row],[I-E]]&gt;0.5,"I","E") &amp; IF(Table1[[#This Row],[S-N]]&gt;0.5,"S","N") &amp; IF(Table1[[#This Row],[T-F]]&gt;0.5,"T","F") &amp; IF(Table1[[#This Row],[J-P]]&gt;0.5,"J","P")</f>
        <v>ISTJ</v>
      </c>
      <c r="H30" s="93">
        <f>VALUE(LEFT(Table1[[#This Row],[Class]], FIND(".",Table1[[#This Row],[Class]])-1))</f>
        <v>7</v>
      </c>
      <c r="I30" s="93">
        <f>VALUE(RIGHT(Table1[[#This Row],[Class]],LEN(Table1[[#This Row],[Class]]) - FIND(".",Table1[[#This Row],[Class]])))</f>
        <v>1</v>
      </c>
    </row>
    <row r="31" spans="1:9" ht="21.6" x14ac:dyDescent="0.25">
      <c r="A31" s="10">
        <v>7102</v>
      </c>
      <c r="B31" s="91">
        <v>7.1</v>
      </c>
      <c r="C31" s="96">
        <v>0.53333333333333333</v>
      </c>
      <c r="D31" s="96">
        <v>0.26666666666666661</v>
      </c>
      <c r="E31" s="96">
        <v>0.8</v>
      </c>
      <c r="F31" s="96">
        <v>0.6</v>
      </c>
      <c r="G31" s="83" t="str">
        <f>IF(Table1[[#This Row],[I-E]]&gt;0.5,"I","E") &amp; IF(Table1[[#This Row],[S-N]]&gt;0.5,"S","N") &amp; IF(Table1[[#This Row],[T-F]]&gt;0.5,"T","F") &amp; IF(Table1[[#This Row],[J-P]]&gt;0.5,"J","P")</f>
        <v>INTJ</v>
      </c>
      <c r="H31" s="93">
        <f>VALUE(LEFT(Table1[[#This Row],[Class]], FIND(".",Table1[[#This Row],[Class]])-1))</f>
        <v>7</v>
      </c>
      <c r="I31" s="93">
        <f>VALUE(RIGHT(Table1[[#This Row],[Class]],LEN(Table1[[#This Row],[Class]]) - FIND(".",Table1[[#This Row],[Class]])))</f>
        <v>1</v>
      </c>
    </row>
    <row r="32" spans="1:9" ht="21.6" x14ac:dyDescent="0.25">
      <c r="A32" s="10">
        <v>7103</v>
      </c>
      <c r="B32" s="91">
        <v>7.1</v>
      </c>
      <c r="C32" s="96">
        <v>0.73333333333333328</v>
      </c>
      <c r="D32" s="96">
        <v>0.53333333333333333</v>
      </c>
      <c r="E32" s="96">
        <v>0.66666666666666663</v>
      </c>
      <c r="F32" s="96">
        <v>0.46666666666666667</v>
      </c>
      <c r="G32" s="83" t="str">
        <f>IF(Table1[[#This Row],[I-E]]&gt;0.5,"I","E") &amp; IF(Table1[[#This Row],[S-N]]&gt;0.5,"S","N") &amp; IF(Table1[[#This Row],[T-F]]&gt;0.5,"T","F") &amp; IF(Table1[[#This Row],[J-P]]&gt;0.5,"J","P")</f>
        <v>ISTP</v>
      </c>
      <c r="H32" s="93">
        <f>VALUE(LEFT(Table1[[#This Row],[Class]], FIND(".",Table1[[#This Row],[Class]])-1))</f>
        <v>7</v>
      </c>
      <c r="I32" s="93">
        <f>VALUE(RIGHT(Table1[[#This Row],[Class]],LEN(Table1[[#This Row],[Class]]) - FIND(".",Table1[[#This Row],[Class]])))</f>
        <v>1</v>
      </c>
    </row>
    <row r="33" spans="1:9" ht="21.6" x14ac:dyDescent="0.25">
      <c r="A33" s="10">
        <v>7104</v>
      </c>
      <c r="B33" s="91">
        <v>7.1</v>
      </c>
      <c r="C33" s="96">
        <v>0.73333333333333328</v>
      </c>
      <c r="D33" s="96">
        <v>0.66666666666666663</v>
      </c>
      <c r="E33" s="96">
        <v>0.6</v>
      </c>
      <c r="F33" s="96">
        <v>0.46666666666666667</v>
      </c>
      <c r="G33" s="83" t="str">
        <f>IF(Table1[[#This Row],[I-E]]&gt;0.5,"I","E") &amp; IF(Table1[[#This Row],[S-N]]&gt;0.5,"S","N") &amp; IF(Table1[[#This Row],[T-F]]&gt;0.5,"T","F") &amp; IF(Table1[[#This Row],[J-P]]&gt;0.5,"J","P")</f>
        <v>ISTP</v>
      </c>
      <c r="H33" s="93">
        <f>VALUE(LEFT(Table1[[#This Row],[Class]], FIND(".",Table1[[#This Row],[Class]])-1))</f>
        <v>7</v>
      </c>
      <c r="I33" s="93">
        <f>VALUE(RIGHT(Table1[[#This Row],[Class]],LEN(Table1[[#This Row],[Class]]) - FIND(".",Table1[[#This Row],[Class]])))</f>
        <v>1</v>
      </c>
    </row>
    <row r="34" spans="1:9" ht="21.6" x14ac:dyDescent="0.25">
      <c r="A34" s="10">
        <v>7105</v>
      </c>
      <c r="B34" s="91">
        <v>7.1</v>
      </c>
      <c r="C34" s="96">
        <v>0.4</v>
      </c>
      <c r="D34" s="96">
        <v>0.33333333333333326</v>
      </c>
      <c r="E34" s="96">
        <v>0.93333333333333335</v>
      </c>
      <c r="F34" s="96">
        <v>0.53333333333333333</v>
      </c>
      <c r="G34" s="83" t="str">
        <f>IF(Table1[[#This Row],[I-E]]&gt;0.5,"I","E") &amp; IF(Table1[[#This Row],[S-N]]&gt;0.5,"S","N") &amp; IF(Table1[[#This Row],[T-F]]&gt;0.5,"T","F") &amp; IF(Table1[[#This Row],[J-P]]&gt;0.5,"J","P")</f>
        <v>ENTJ</v>
      </c>
      <c r="H34" s="93">
        <f>VALUE(LEFT(Table1[[#This Row],[Class]], FIND(".",Table1[[#This Row],[Class]])-1))</f>
        <v>7</v>
      </c>
      <c r="I34" s="93">
        <f>VALUE(RIGHT(Table1[[#This Row],[Class]],LEN(Table1[[#This Row],[Class]]) - FIND(".",Table1[[#This Row],[Class]])))</f>
        <v>1</v>
      </c>
    </row>
    <row r="35" spans="1:9" ht="21.6" x14ac:dyDescent="0.25">
      <c r="A35" s="10">
        <v>7106</v>
      </c>
      <c r="B35" s="91">
        <v>7.1</v>
      </c>
      <c r="C35" s="96">
        <v>0.6</v>
      </c>
      <c r="D35" s="96">
        <v>0.4</v>
      </c>
      <c r="E35" s="96">
        <v>0.8666666666666667</v>
      </c>
      <c r="F35" s="96">
        <v>0.8</v>
      </c>
      <c r="G35" s="83" t="str">
        <f>IF(Table1[[#This Row],[I-E]]&gt;0.5,"I","E") &amp; IF(Table1[[#This Row],[S-N]]&gt;0.5,"S","N") &amp; IF(Table1[[#This Row],[T-F]]&gt;0.5,"T","F") &amp; IF(Table1[[#This Row],[J-P]]&gt;0.5,"J","P")</f>
        <v>INTJ</v>
      </c>
      <c r="H35" s="93">
        <f>VALUE(LEFT(Table1[[#This Row],[Class]], FIND(".",Table1[[#This Row],[Class]])-1))</f>
        <v>7</v>
      </c>
      <c r="I35" s="93">
        <f>VALUE(RIGHT(Table1[[#This Row],[Class]],LEN(Table1[[#This Row],[Class]]) - FIND(".",Table1[[#This Row],[Class]])))</f>
        <v>1</v>
      </c>
    </row>
    <row r="36" spans="1:9" ht="21.6" x14ac:dyDescent="0.25">
      <c r="A36" s="10">
        <v>7107</v>
      </c>
      <c r="B36" s="91">
        <v>7.1</v>
      </c>
      <c r="C36" s="96">
        <v>0.6</v>
      </c>
      <c r="D36" s="96">
        <v>0.53333333333333333</v>
      </c>
      <c r="E36" s="96">
        <v>0.93333333333333335</v>
      </c>
      <c r="F36" s="96">
        <v>0.66666666666666663</v>
      </c>
      <c r="G36" s="83" t="str">
        <f>IF(Table1[[#This Row],[I-E]]&gt;0.5,"I","E") &amp; IF(Table1[[#This Row],[S-N]]&gt;0.5,"S","N") &amp; IF(Table1[[#This Row],[T-F]]&gt;0.5,"T","F") &amp; IF(Table1[[#This Row],[J-P]]&gt;0.5,"J","P")</f>
        <v>ISTJ</v>
      </c>
      <c r="H36" s="93">
        <f>VALUE(LEFT(Table1[[#This Row],[Class]], FIND(".",Table1[[#This Row],[Class]])-1))</f>
        <v>7</v>
      </c>
      <c r="I36" s="93">
        <f>VALUE(RIGHT(Table1[[#This Row],[Class]],LEN(Table1[[#This Row],[Class]]) - FIND(".",Table1[[#This Row],[Class]])))</f>
        <v>1</v>
      </c>
    </row>
    <row r="37" spans="1:9" ht="21.6" x14ac:dyDescent="0.25">
      <c r="A37" s="10">
        <v>7108</v>
      </c>
      <c r="B37" s="91">
        <v>7.1</v>
      </c>
      <c r="C37" s="96">
        <v>0.46666666666666667</v>
      </c>
      <c r="D37" s="96">
        <v>0.33333333333333326</v>
      </c>
      <c r="E37" s="96">
        <v>0.66666666666666663</v>
      </c>
      <c r="F37" s="96">
        <v>0.33333333333333326</v>
      </c>
      <c r="G37" s="83" t="str">
        <f>IF(Table1[[#This Row],[I-E]]&gt;0.5,"I","E") &amp; IF(Table1[[#This Row],[S-N]]&gt;0.5,"S","N") &amp; IF(Table1[[#This Row],[T-F]]&gt;0.5,"T","F") &amp; IF(Table1[[#This Row],[J-P]]&gt;0.5,"J","P")</f>
        <v>ENTP</v>
      </c>
      <c r="H37" s="93">
        <f>VALUE(LEFT(Table1[[#This Row],[Class]], FIND(".",Table1[[#This Row],[Class]])-1))</f>
        <v>7</v>
      </c>
      <c r="I37" s="93">
        <f>VALUE(RIGHT(Table1[[#This Row],[Class]],LEN(Table1[[#This Row],[Class]]) - FIND(".",Table1[[#This Row],[Class]])))</f>
        <v>1</v>
      </c>
    </row>
    <row r="38" spans="1:9" ht="21.6" x14ac:dyDescent="0.25">
      <c r="A38" s="10">
        <v>7109</v>
      </c>
      <c r="B38" s="91">
        <v>7.1</v>
      </c>
      <c r="C38" s="96">
        <v>0.8</v>
      </c>
      <c r="D38" s="96">
        <v>0.46666666666666667</v>
      </c>
      <c r="E38" s="96">
        <v>0.46666666666666667</v>
      </c>
      <c r="F38" s="96">
        <v>0.4</v>
      </c>
      <c r="G38" s="83" t="str">
        <f>IF(Table1[[#This Row],[I-E]]&gt;0.5,"I","E") &amp; IF(Table1[[#This Row],[S-N]]&gt;0.5,"S","N") &amp; IF(Table1[[#This Row],[T-F]]&gt;0.5,"T","F") &amp; IF(Table1[[#This Row],[J-P]]&gt;0.5,"J","P")</f>
        <v>INFP</v>
      </c>
      <c r="H38" s="93">
        <f>VALUE(LEFT(Table1[[#This Row],[Class]], FIND(".",Table1[[#This Row],[Class]])-1))</f>
        <v>7</v>
      </c>
      <c r="I38" s="93">
        <f>VALUE(RIGHT(Table1[[#This Row],[Class]],LEN(Table1[[#This Row],[Class]]) - FIND(".",Table1[[#This Row],[Class]])))</f>
        <v>1</v>
      </c>
    </row>
    <row r="39" spans="1:9" ht="21.6" x14ac:dyDescent="0.25">
      <c r="A39" s="10">
        <v>7110</v>
      </c>
      <c r="B39" s="91">
        <v>7.1</v>
      </c>
      <c r="C39" s="96">
        <v>0.4</v>
      </c>
      <c r="D39" s="96">
        <v>0.33333333333333326</v>
      </c>
      <c r="E39" s="96">
        <v>0.53333333333333333</v>
      </c>
      <c r="F39" s="96">
        <v>0.4</v>
      </c>
      <c r="G39" s="83" t="str">
        <f>IF(Table1[[#This Row],[I-E]]&gt;0.5,"I","E") &amp; IF(Table1[[#This Row],[S-N]]&gt;0.5,"S","N") &amp; IF(Table1[[#This Row],[T-F]]&gt;0.5,"T","F") &amp; IF(Table1[[#This Row],[J-P]]&gt;0.5,"J","P")</f>
        <v>ENTP</v>
      </c>
      <c r="H39" s="93">
        <f>VALUE(LEFT(Table1[[#This Row],[Class]], FIND(".",Table1[[#This Row],[Class]])-1))</f>
        <v>7</v>
      </c>
      <c r="I39" s="93">
        <f>VALUE(RIGHT(Table1[[#This Row],[Class]],LEN(Table1[[#This Row],[Class]]) - FIND(".",Table1[[#This Row],[Class]])))</f>
        <v>1</v>
      </c>
    </row>
    <row r="40" spans="1:9" ht="21.6" x14ac:dyDescent="0.25">
      <c r="A40" s="10">
        <v>7111</v>
      </c>
      <c r="B40" s="91">
        <v>7.1</v>
      </c>
      <c r="C40" s="96">
        <v>0.73333333333333328</v>
      </c>
      <c r="D40" s="96">
        <v>0.53333333333333333</v>
      </c>
      <c r="E40" s="96">
        <v>0.66666666666666663</v>
      </c>
      <c r="F40" s="96">
        <v>0.53333333333333333</v>
      </c>
      <c r="G40" s="83" t="str">
        <f>IF(Table1[[#This Row],[I-E]]&gt;0.5,"I","E") &amp; IF(Table1[[#This Row],[S-N]]&gt;0.5,"S","N") &amp; IF(Table1[[#This Row],[T-F]]&gt;0.5,"T","F") &amp; IF(Table1[[#This Row],[J-P]]&gt;0.5,"J","P")</f>
        <v>ISTJ</v>
      </c>
      <c r="H40" s="93">
        <f>VALUE(LEFT(Table1[[#This Row],[Class]], FIND(".",Table1[[#This Row],[Class]])-1))</f>
        <v>7</v>
      </c>
      <c r="I40" s="93">
        <f>VALUE(RIGHT(Table1[[#This Row],[Class]],LEN(Table1[[#This Row],[Class]]) - FIND(".",Table1[[#This Row],[Class]])))</f>
        <v>1</v>
      </c>
    </row>
    <row r="41" spans="1:9" ht="21.6" x14ac:dyDescent="0.25">
      <c r="A41" s="10">
        <v>7112</v>
      </c>
      <c r="B41" s="91">
        <v>7.1</v>
      </c>
      <c r="C41" s="96">
        <v>0.66666666666666663</v>
      </c>
      <c r="D41" s="96">
        <v>0.53333333333333333</v>
      </c>
      <c r="E41" s="96">
        <v>0.66666666666666663</v>
      </c>
      <c r="F41" s="96">
        <v>0.66666666666666663</v>
      </c>
      <c r="G41" s="83" t="str">
        <f>IF(Table1[[#This Row],[I-E]]&gt;0.5,"I","E") &amp; IF(Table1[[#This Row],[S-N]]&gt;0.5,"S","N") &amp; IF(Table1[[#This Row],[T-F]]&gt;0.5,"T","F") &amp; IF(Table1[[#This Row],[J-P]]&gt;0.5,"J","P")</f>
        <v>ISTJ</v>
      </c>
      <c r="H41" s="93">
        <f>VALUE(LEFT(Table1[[#This Row],[Class]], FIND(".",Table1[[#This Row],[Class]])-1))</f>
        <v>7</v>
      </c>
      <c r="I41" s="93">
        <f>VALUE(RIGHT(Table1[[#This Row],[Class]],LEN(Table1[[#This Row],[Class]]) - FIND(".",Table1[[#This Row],[Class]])))</f>
        <v>1</v>
      </c>
    </row>
    <row r="42" spans="1:9" ht="21.6" x14ac:dyDescent="0.25">
      <c r="A42" s="10">
        <v>7113</v>
      </c>
      <c r="B42" s="91">
        <v>7.1</v>
      </c>
      <c r="C42" s="96">
        <v>0.53333333333333333</v>
      </c>
      <c r="D42" s="96">
        <v>0.6</v>
      </c>
      <c r="E42" s="96">
        <v>0.73333333333333328</v>
      </c>
      <c r="F42" s="96">
        <v>0.6</v>
      </c>
      <c r="G42" s="83" t="str">
        <f>IF(Table1[[#This Row],[I-E]]&gt;0.5,"I","E") &amp; IF(Table1[[#This Row],[S-N]]&gt;0.5,"S","N") &amp; IF(Table1[[#This Row],[T-F]]&gt;0.5,"T","F") &amp; IF(Table1[[#This Row],[J-P]]&gt;0.5,"J","P")</f>
        <v>ISTJ</v>
      </c>
      <c r="H42" s="93">
        <f>VALUE(LEFT(Table1[[#This Row],[Class]], FIND(".",Table1[[#This Row],[Class]])-1))</f>
        <v>7</v>
      </c>
      <c r="I42" s="93">
        <f>VALUE(RIGHT(Table1[[#This Row],[Class]],LEN(Table1[[#This Row],[Class]]) - FIND(".",Table1[[#This Row],[Class]])))</f>
        <v>1</v>
      </c>
    </row>
    <row r="43" spans="1:9" ht="21.6" x14ac:dyDescent="0.25">
      <c r="A43" s="10">
        <v>7114</v>
      </c>
      <c r="B43" s="91">
        <v>7.1</v>
      </c>
      <c r="C43" s="96">
        <v>0.8</v>
      </c>
      <c r="D43" s="96">
        <v>0.4</v>
      </c>
      <c r="E43" s="96">
        <v>0.6</v>
      </c>
      <c r="F43" s="96">
        <v>0.46666666666666667</v>
      </c>
      <c r="G43" s="83" t="str">
        <f>IF(Table1[[#This Row],[I-E]]&gt;0.5,"I","E") &amp; IF(Table1[[#This Row],[S-N]]&gt;0.5,"S","N") &amp; IF(Table1[[#This Row],[T-F]]&gt;0.5,"T","F") &amp; IF(Table1[[#This Row],[J-P]]&gt;0.5,"J","P")</f>
        <v>INTP</v>
      </c>
      <c r="H43" s="93">
        <f>VALUE(LEFT(Table1[[#This Row],[Class]], FIND(".",Table1[[#This Row],[Class]])-1))</f>
        <v>7</v>
      </c>
      <c r="I43" s="93">
        <f>VALUE(RIGHT(Table1[[#This Row],[Class]],LEN(Table1[[#This Row],[Class]]) - FIND(".",Table1[[#This Row],[Class]])))</f>
        <v>1</v>
      </c>
    </row>
    <row r="44" spans="1:9" ht="21.6" x14ac:dyDescent="0.25">
      <c r="A44" s="10">
        <v>7115</v>
      </c>
      <c r="B44" s="91">
        <v>7.1</v>
      </c>
      <c r="C44" s="96">
        <v>0.6</v>
      </c>
      <c r="D44" s="96">
        <v>0.4</v>
      </c>
      <c r="E44" s="96">
        <v>0.4</v>
      </c>
      <c r="F44" s="96">
        <v>0.8</v>
      </c>
      <c r="G44" s="83" t="str">
        <f>IF(Table1[[#This Row],[I-E]]&gt;0.5,"I","E") &amp; IF(Table1[[#This Row],[S-N]]&gt;0.5,"S","N") &amp; IF(Table1[[#This Row],[T-F]]&gt;0.5,"T","F") &amp; IF(Table1[[#This Row],[J-P]]&gt;0.5,"J","P")</f>
        <v>INFJ</v>
      </c>
      <c r="H44" s="93">
        <f>VALUE(LEFT(Table1[[#This Row],[Class]], FIND(".",Table1[[#This Row],[Class]])-1))</f>
        <v>7</v>
      </c>
      <c r="I44" s="93">
        <f>VALUE(RIGHT(Table1[[#This Row],[Class]],LEN(Table1[[#This Row],[Class]]) - FIND(".",Table1[[#This Row],[Class]])))</f>
        <v>1</v>
      </c>
    </row>
    <row r="45" spans="1:9" ht="21.6" x14ac:dyDescent="0.25">
      <c r="A45" s="10">
        <v>7116</v>
      </c>
      <c r="B45" s="91">
        <v>7.1</v>
      </c>
      <c r="C45" s="96">
        <v>0.53333333333333333</v>
      </c>
      <c r="D45" s="96">
        <v>0.33333333333333326</v>
      </c>
      <c r="E45" s="96">
        <v>0.6</v>
      </c>
      <c r="F45" s="96">
        <v>0.26666666666666661</v>
      </c>
      <c r="G45" s="83" t="str">
        <f>IF(Table1[[#This Row],[I-E]]&gt;0.5,"I","E") &amp; IF(Table1[[#This Row],[S-N]]&gt;0.5,"S","N") &amp; IF(Table1[[#This Row],[T-F]]&gt;0.5,"T","F") &amp; IF(Table1[[#This Row],[J-P]]&gt;0.5,"J","P")</f>
        <v>INTP</v>
      </c>
      <c r="H45" s="93">
        <f>VALUE(LEFT(Table1[[#This Row],[Class]], FIND(".",Table1[[#This Row],[Class]])-1))</f>
        <v>7</v>
      </c>
      <c r="I45" s="93">
        <f>VALUE(RIGHT(Table1[[#This Row],[Class]],LEN(Table1[[#This Row],[Class]]) - FIND(".",Table1[[#This Row],[Class]])))</f>
        <v>1</v>
      </c>
    </row>
    <row r="46" spans="1:9" ht="21.6" x14ac:dyDescent="0.25">
      <c r="A46" s="10">
        <v>7117</v>
      </c>
      <c r="B46" s="91">
        <v>7.1</v>
      </c>
      <c r="C46" s="96">
        <v>0.66666666666666663</v>
      </c>
      <c r="D46" s="96">
        <v>0.4</v>
      </c>
      <c r="E46" s="96">
        <v>0.8</v>
      </c>
      <c r="F46" s="96">
        <v>0.53333333333333333</v>
      </c>
      <c r="G46" s="83" t="str">
        <f>IF(Table1[[#This Row],[I-E]]&gt;0.5,"I","E") &amp; IF(Table1[[#This Row],[S-N]]&gt;0.5,"S","N") &amp; IF(Table1[[#This Row],[T-F]]&gt;0.5,"T","F") &amp; IF(Table1[[#This Row],[J-P]]&gt;0.5,"J","P")</f>
        <v>INTJ</v>
      </c>
      <c r="H46" s="93">
        <f>VALUE(LEFT(Table1[[#This Row],[Class]], FIND(".",Table1[[#This Row],[Class]])-1))</f>
        <v>7</v>
      </c>
      <c r="I46" s="93">
        <f>VALUE(RIGHT(Table1[[#This Row],[Class]],LEN(Table1[[#This Row],[Class]]) - FIND(".",Table1[[#This Row],[Class]])))</f>
        <v>1</v>
      </c>
    </row>
    <row r="47" spans="1:9" ht="21.6" x14ac:dyDescent="0.25">
      <c r="A47" s="10">
        <v>7118</v>
      </c>
      <c r="B47" s="91">
        <v>7.1</v>
      </c>
      <c r="C47" s="96">
        <v>0.6</v>
      </c>
      <c r="D47" s="96">
        <v>0.6</v>
      </c>
      <c r="E47" s="96">
        <v>0.93333333333333335</v>
      </c>
      <c r="F47" s="96">
        <v>0.4</v>
      </c>
      <c r="G47" s="83" t="str">
        <f>IF(Table1[[#This Row],[I-E]]&gt;0.5,"I","E") &amp; IF(Table1[[#This Row],[S-N]]&gt;0.5,"S","N") &amp; IF(Table1[[#This Row],[T-F]]&gt;0.5,"T","F") &amp; IF(Table1[[#This Row],[J-P]]&gt;0.5,"J","P")</f>
        <v>ISTP</v>
      </c>
      <c r="H47" s="93">
        <f>VALUE(LEFT(Table1[[#This Row],[Class]], FIND(".",Table1[[#This Row],[Class]])-1))</f>
        <v>7</v>
      </c>
      <c r="I47" s="93">
        <f>VALUE(RIGHT(Table1[[#This Row],[Class]],LEN(Table1[[#This Row],[Class]]) - FIND(".",Table1[[#This Row],[Class]])))</f>
        <v>1</v>
      </c>
    </row>
    <row r="48" spans="1:9" ht="21.6" x14ac:dyDescent="0.25">
      <c r="A48" s="10">
        <v>7119</v>
      </c>
      <c r="B48" s="91">
        <v>7.1</v>
      </c>
      <c r="C48" s="96">
        <v>0.53333333333333333</v>
      </c>
      <c r="D48" s="96">
        <v>0.66666666666666663</v>
      </c>
      <c r="E48" s="96">
        <v>0.46666666666666667</v>
      </c>
      <c r="F48" s="96">
        <v>0.66666666666666663</v>
      </c>
      <c r="G48" s="83" t="str">
        <f>IF(Table1[[#This Row],[I-E]]&gt;0.5,"I","E") &amp; IF(Table1[[#This Row],[S-N]]&gt;0.5,"S","N") &amp; IF(Table1[[#This Row],[T-F]]&gt;0.5,"T","F") &amp; IF(Table1[[#This Row],[J-P]]&gt;0.5,"J","P")</f>
        <v>ISFJ</v>
      </c>
      <c r="H48" s="93">
        <f>VALUE(LEFT(Table1[[#This Row],[Class]], FIND(".",Table1[[#This Row],[Class]])-1))</f>
        <v>7</v>
      </c>
      <c r="I48" s="93">
        <f>VALUE(RIGHT(Table1[[#This Row],[Class]],LEN(Table1[[#This Row],[Class]]) - FIND(".",Table1[[#This Row],[Class]])))</f>
        <v>1</v>
      </c>
    </row>
    <row r="49" spans="1:9" ht="21.6" x14ac:dyDescent="0.25">
      <c r="A49" s="10">
        <v>7120</v>
      </c>
      <c r="B49" s="91">
        <v>7.1</v>
      </c>
      <c r="C49" s="96">
        <v>0.53333333333333333</v>
      </c>
      <c r="D49" s="96">
        <v>0.53333333333333333</v>
      </c>
      <c r="E49" s="96">
        <v>0.66666666666666663</v>
      </c>
      <c r="F49" s="96">
        <v>0.66666666666666663</v>
      </c>
      <c r="G49" s="83" t="str">
        <f>IF(Table1[[#This Row],[I-E]]&gt;0.5,"I","E") &amp; IF(Table1[[#This Row],[S-N]]&gt;0.5,"S","N") &amp; IF(Table1[[#This Row],[T-F]]&gt;0.5,"T","F") &amp; IF(Table1[[#This Row],[J-P]]&gt;0.5,"J","P")</f>
        <v>ISTJ</v>
      </c>
      <c r="H49" s="93">
        <f>VALUE(LEFT(Table1[[#This Row],[Class]], FIND(".",Table1[[#This Row],[Class]])-1))</f>
        <v>7</v>
      </c>
      <c r="I49" s="93">
        <f>VALUE(RIGHT(Table1[[#This Row],[Class]],LEN(Table1[[#This Row],[Class]]) - FIND(".",Table1[[#This Row],[Class]])))</f>
        <v>1</v>
      </c>
    </row>
    <row r="50" spans="1:9" ht="21.6" x14ac:dyDescent="0.25">
      <c r="A50" s="10">
        <v>7121</v>
      </c>
      <c r="B50" s="91">
        <v>7.1</v>
      </c>
      <c r="C50" s="96">
        <v>0.6</v>
      </c>
      <c r="D50" s="96">
        <v>0.66666666666666663</v>
      </c>
      <c r="E50" s="96">
        <v>0.8</v>
      </c>
      <c r="F50" s="96">
        <v>0.4</v>
      </c>
      <c r="G50" s="83" t="str">
        <f>IF(Table1[[#This Row],[I-E]]&gt;0.5,"I","E") &amp; IF(Table1[[#This Row],[S-N]]&gt;0.5,"S","N") &amp; IF(Table1[[#This Row],[T-F]]&gt;0.5,"T","F") &amp; IF(Table1[[#This Row],[J-P]]&gt;0.5,"J","P")</f>
        <v>ISTP</v>
      </c>
      <c r="H50" s="93">
        <f>VALUE(LEFT(Table1[[#This Row],[Class]], FIND(".",Table1[[#This Row],[Class]])-1))</f>
        <v>7</v>
      </c>
      <c r="I50" s="93">
        <f>VALUE(RIGHT(Table1[[#This Row],[Class]],LEN(Table1[[#This Row],[Class]]) - FIND(".",Table1[[#This Row],[Class]])))</f>
        <v>1</v>
      </c>
    </row>
    <row r="51" spans="1:9" ht="21.6" x14ac:dyDescent="0.25">
      <c r="A51" s="10">
        <v>7122</v>
      </c>
      <c r="B51" s="91">
        <v>7.1</v>
      </c>
      <c r="C51" s="96">
        <v>0.73333333333333328</v>
      </c>
      <c r="D51" s="96">
        <v>1</v>
      </c>
      <c r="E51" s="96">
        <v>0.6</v>
      </c>
      <c r="F51" s="96">
        <v>0.46666666666666667</v>
      </c>
      <c r="G51" s="83" t="str">
        <f>IF(Table1[[#This Row],[I-E]]&gt;0.5,"I","E") &amp; IF(Table1[[#This Row],[S-N]]&gt;0.5,"S","N") &amp; IF(Table1[[#This Row],[T-F]]&gt;0.5,"T","F") &amp; IF(Table1[[#This Row],[J-P]]&gt;0.5,"J","P")</f>
        <v>ISTP</v>
      </c>
      <c r="H51" s="93">
        <f>VALUE(LEFT(Table1[[#This Row],[Class]], FIND(".",Table1[[#This Row],[Class]])-1))</f>
        <v>7</v>
      </c>
      <c r="I51" s="93">
        <f>VALUE(RIGHT(Table1[[#This Row],[Class]],LEN(Table1[[#This Row],[Class]]) - FIND(".",Table1[[#This Row],[Class]])))</f>
        <v>1</v>
      </c>
    </row>
    <row r="52" spans="1:9" ht="21.6" x14ac:dyDescent="0.25">
      <c r="A52" s="10">
        <v>7123</v>
      </c>
      <c r="B52" s="91">
        <v>7.1</v>
      </c>
      <c r="C52" s="96">
        <v>0.73333333333333328</v>
      </c>
      <c r="D52" s="96">
        <v>0.53333333333333333</v>
      </c>
      <c r="E52" s="96">
        <v>0.53333333333333333</v>
      </c>
      <c r="F52" s="96">
        <v>0.33333333333333326</v>
      </c>
      <c r="G52" s="83" t="str">
        <f>IF(Table1[[#This Row],[I-E]]&gt;0.5,"I","E") &amp; IF(Table1[[#This Row],[S-N]]&gt;0.5,"S","N") &amp; IF(Table1[[#This Row],[T-F]]&gt;0.5,"T","F") &amp; IF(Table1[[#This Row],[J-P]]&gt;0.5,"J","P")</f>
        <v>ISTP</v>
      </c>
      <c r="H52" s="93">
        <f>VALUE(LEFT(Table1[[#This Row],[Class]], FIND(".",Table1[[#This Row],[Class]])-1))</f>
        <v>7</v>
      </c>
      <c r="I52" s="93">
        <f>VALUE(RIGHT(Table1[[#This Row],[Class]],LEN(Table1[[#This Row],[Class]]) - FIND(".",Table1[[#This Row],[Class]])))</f>
        <v>1</v>
      </c>
    </row>
    <row r="53" spans="1:9" ht="21.6" x14ac:dyDescent="0.25">
      <c r="A53" s="10">
        <v>7124</v>
      </c>
      <c r="B53" s="91">
        <v>7.1</v>
      </c>
      <c r="C53" s="96">
        <v>0.6</v>
      </c>
      <c r="D53" s="96">
        <v>0.53333333333333333</v>
      </c>
      <c r="E53" s="96">
        <v>0.33333333333333326</v>
      </c>
      <c r="F53" s="96">
        <v>0.8</v>
      </c>
      <c r="G53" s="83" t="str">
        <f>IF(Table1[[#This Row],[I-E]]&gt;0.5,"I","E") &amp; IF(Table1[[#This Row],[S-N]]&gt;0.5,"S","N") &amp; IF(Table1[[#This Row],[T-F]]&gt;0.5,"T","F") &amp; IF(Table1[[#This Row],[J-P]]&gt;0.5,"J","P")</f>
        <v>ISFJ</v>
      </c>
      <c r="H53" s="93">
        <f>VALUE(LEFT(Table1[[#This Row],[Class]], FIND(".",Table1[[#This Row],[Class]])-1))</f>
        <v>7</v>
      </c>
      <c r="I53" s="93">
        <f>VALUE(RIGHT(Table1[[#This Row],[Class]],LEN(Table1[[#This Row],[Class]]) - FIND(".",Table1[[#This Row],[Class]])))</f>
        <v>1</v>
      </c>
    </row>
    <row r="54" spans="1:9" ht="21.6" x14ac:dyDescent="0.25">
      <c r="A54" s="10">
        <v>7125</v>
      </c>
      <c r="B54" s="91">
        <v>7.1</v>
      </c>
      <c r="C54" s="96">
        <v>0.26666666666666661</v>
      </c>
      <c r="D54" s="96">
        <v>0.46666666666666667</v>
      </c>
      <c r="E54" s="96">
        <v>0.73333333333333328</v>
      </c>
      <c r="F54" s="96">
        <v>0.46666666666666667</v>
      </c>
      <c r="G54" s="83" t="str">
        <f>IF(Table1[[#This Row],[I-E]]&gt;0.5,"I","E") &amp; IF(Table1[[#This Row],[S-N]]&gt;0.5,"S","N") &amp; IF(Table1[[#This Row],[T-F]]&gt;0.5,"T","F") &amp; IF(Table1[[#This Row],[J-P]]&gt;0.5,"J","P")</f>
        <v>ENTP</v>
      </c>
      <c r="H54" s="93">
        <f>VALUE(LEFT(Table1[[#This Row],[Class]], FIND(".",Table1[[#This Row],[Class]])-1))</f>
        <v>7</v>
      </c>
      <c r="I54" s="93">
        <f>VALUE(RIGHT(Table1[[#This Row],[Class]],LEN(Table1[[#This Row],[Class]]) - FIND(".",Table1[[#This Row],[Class]])))</f>
        <v>1</v>
      </c>
    </row>
    <row r="55" spans="1:9" ht="21.6" x14ac:dyDescent="0.25">
      <c r="A55" s="10">
        <v>7126</v>
      </c>
      <c r="B55" s="91">
        <v>7.1</v>
      </c>
      <c r="C55" s="96">
        <v>0.6</v>
      </c>
      <c r="D55" s="96">
        <v>0.26666666666666661</v>
      </c>
      <c r="E55" s="96">
        <v>0.6</v>
      </c>
      <c r="F55" s="96">
        <v>0.46666666666666667</v>
      </c>
      <c r="G55" s="83" t="str">
        <f>IF(Table1[[#This Row],[I-E]]&gt;0.5,"I","E") &amp; IF(Table1[[#This Row],[S-N]]&gt;0.5,"S","N") &amp; IF(Table1[[#This Row],[T-F]]&gt;0.5,"T","F") &amp; IF(Table1[[#This Row],[J-P]]&gt;0.5,"J","P")</f>
        <v>INTP</v>
      </c>
      <c r="H55" s="93">
        <f>VALUE(LEFT(Table1[[#This Row],[Class]], FIND(".",Table1[[#This Row],[Class]])-1))</f>
        <v>7</v>
      </c>
      <c r="I55" s="93">
        <f>VALUE(RIGHT(Table1[[#This Row],[Class]],LEN(Table1[[#This Row],[Class]]) - FIND(".",Table1[[#This Row],[Class]])))</f>
        <v>1</v>
      </c>
    </row>
    <row r="56" spans="1:9" ht="21.6" x14ac:dyDescent="0.25">
      <c r="A56" s="10">
        <v>7127</v>
      </c>
      <c r="B56" s="91">
        <v>7.1</v>
      </c>
      <c r="C56" s="96">
        <v>0.6</v>
      </c>
      <c r="D56" s="96">
        <v>0.46666666666666667</v>
      </c>
      <c r="E56" s="96">
        <v>0.53333333333333333</v>
      </c>
      <c r="F56" s="96">
        <v>0.53333333333333333</v>
      </c>
      <c r="G56" s="83" t="str">
        <f>IF(Table1[[#This Row],[I-E]]&gt;0.5,"I","E") &amp; IF(Table1[[#This Row],[S-N]]&gt;0.5,"S","N") &amp; IF(Table1[[#This Row],[T-F]]&gt;0.5,"T","F") &amp; IF(Table1[[#This Row],[J-P]]&gt;0.5,"J","P")</f>
        <v>INTJ</v>
      </c>
      <c r="H56" s="93">
        <f>VALUE(LEFT(Table1[[#This Row],[Class]], FIND(".",Table1[[#This Row],[Class]])-1))</f>
        <v>7</v>
      </c>
      <c r="I56" s="93">
        <f>VALUE(RIGHT(Table1[[#This Row],[Class]],LEN(Table1[[#This Row],[Class]]) - FIND(".",Table1[[#This Row],[Class]])))</f>
        <v>1</v>
      </c>
    </row>
    <row r="57" spans="1:9" ht="21.6" x14ac:dyDescent="0.25">
      <c r="A57" s="10">
        <v>7128</v>
      </c>
      <c r="B57" s="91">
        <v>7.1</v>
      </c>
      <c r="C57" s="96">
        <v>0.93333333333333335</v>
      </c>
      <c r="D57" s="96">
        <v>0.4</v>
      </c>
      <c r="E57" s="96">
        <v>0.66666666666666663</v>
      </c>
      <c r="F57" s="96">
        <v>0.66666666666666663</v>
      </c>
      <c r="G57" s="83" t="str">
        <f>IF(Table1[[#This Row],[I-E]]&gt;0.5,"I","E") &amp; IF(Table1[[#This Row],[S-N]]&gt;0.5,"S","N") &amp; IF(Table1[[#This Row],[T-F]]&gt;0.5,"T","F") &amp; IF(Table1[[#This Row],[J-P]]&gt;0.5,"J","P")</f>
        <v>INTJ</v>
      </c>
      <c r="H57" s="93">
        <f>VALUE(LEFT(Table1[[#This Row],[Class]], FIND(".",Table1[[#This Row],[Class]])-1))</f>
        <v>7</v>
      </c>
      <c r="I57" s="93">
        <f>VALUE(RIGHT(Table1[[#This Row],[Class]],LEN(Table1[[#This Row],[Class]]) - FIND(".",Table1[[#This Row],[Class]])))</f>
        <v>1</v>
      </c>
    </row>
    <row r="58" spans="1:9" ht="21.6" x14ac:dyDescent="0.25">
      <c r="A58" s="10">
        <v>7129</v>
      </c>
      <c r="B58" s="91">
        <v>7.1</v>
      </c>
      <c r="C58" s="96">
        <v>0.8</v>
      </c>
      <c r="D58" s="96">
        <v>0.8</v>
      </c>
      <c r="E58" s="96">
        <v>0.8</v>
      </c>
      <c r="F58" s="96">
        <v>0.4</v>
      </c>
      <c r="G58" s="83" t="str">
        <f>IF(Table1[[#This Row],[I-E]]&gt;0.5,"I","E") &amp; IF(Table1[[#This Row],[S-N]]&gt;0.5,"S","N") &amp; IF(Table1[[#This Row],[T-F]]&gt;0.5,"T","F") &amp; IF(Table1[[#This Row],[J-P]]&gt;0.5,"J","P")</f>
        <v>ISTP</v>
      </c>
      <c r="H58" s="93">
        <f>VALUE(LEFT(Table1[[#This Row],[Class]], FIND(".",Table1[[#This Row],[Class]])-1))</f>
        <v>7</v>
      </c>
      <c r="I58" s="93">
        <f>VALUE(RIGHT(Table1[[#This Row],[Class]],LEN(Table1[[#This Row],[Class]]) - FIND(".",Table1[[#This Row],[Class]])))</f>
        <v>1</v>
      </c>
    </row>
    <row r="59" spans="1:9" ht="21.6" x14ac:dyDescent="0.25">
      <c r="A59" s="10">
        <v>7130</v>
      </c>
      <c r="B59" s="91">
        <v>7.1</v>
      </c>
      <c r="C59" s="96">
        <v>0.53333333333333333</v>
      </c>
      <c r="D59" s="96">
        <v>0.33333333333333326</v>
      </c>
      <c r="E59" s="96">
        <v>0.8</v>
      </c>
      <c r="F59" s="96">
        <v>0.66666666666666663</v>
      </c>
      <c r="G59" s="83" t="str">
        <f>IF(Table1[[#This Row],[I-E]]&gt;0.5,"I","E") &amp; IF(Table1[[#This Row],[S-N]]&gt;0.5,"S","N") &amp; IF(Table1[[#This Row],[T-F]]&gt;0.5,"T","F") &amp; IF(Table1[[#This Row],[J-P]]&gt;0.5,"J","P")</f>
        <v>INTJ</v>
      </c>
      <c r="H59" s="93">
        <f>VALUE(LEFT(Table1[[#This Row],[Class]], FIND(".",Table1[[#This Row],[Class]])-1))</f>
        <v>7</v>
      </c>
      <c r="I59" s="93">
        <f>VALUE(RIGHT(Table1[[#This Row],[Class]],LEN(Table1[[#This Row],[Class]]) - FIND(".",Table1[[#This Row],[Class]])))</f>
        <v>1</v>
      </c>
    </row>
    <row r="60" spans="1:9" ht="21.6" x14ac:dyDescent="0.25">
      <c r="A60" s="10">
        <v>7201</v>
      </c>
      <c r="B60" s="91">
        <v>7.2</v>
      </c>
      <c r="C60" s="96">
        <v>0.4</v>
      </c>
      <c r="D60" s="96">
        <v>0.33333333333333326</v>
      </c>
      <c r="E60" s="96">
        <v>0.8</v>
      </c>
      <c r="F60" s="96">
        <v>0.6</v>
      </c>
      <c r="G60" s="83" t="str">
        <f>IF(Table1[[#This Row],[I-E]]&gt;0.5,"I","E") &amp; IF(Table1[[#This Row],[S-N]]&gt;0.5,"S","N") &amp; IF(Table1[[#This Row],[T-F]]&gt;0.5,"T","F") &amp; IF(Table1[[#This Row],[J-P]]&gt;0.5,"J","P")</f>
        <v>ENTJ</v>
      </c>
      <c r="H60" s="93">
        <f>VALUE(LEFT(Table1[[#This Row],[Class]], FIND(".",Table1[[#This Row],[Class]])-1))</f>
        <v>7</v>
      </c>
      <c r="I60" s="93">
        <f>VALUE(RIGHT(Table1[[#This Row],[Class]],LEN(Table1[[#This Row],[Class]]) - FIND(".",Table1[[#This Row],[Class]])))</f>
        <v>2</v>
      </c>
    </row>
    <row r="61" spans="1:9" ht="21.6" x14ac:dyDescent="0.25">
      <c r="A61" s="10">
        <v>7202</v>
      </c>
      <c r="B61" s="91">
        <v>7.2</v>
      </c>
      <c r="C61" s="96">
        <v>1</v>
      </c>
      <c r="D61" s="96">
        <v>0.46666666666666667</v>
      </c>
      <c r="E61" s="96">
        <v>0.66666666666666663</v>
      </c>
      <c r="F61" s="96">
        <v>0.6</v>
      </c>
      <c r="G61" s="83" t="str">
        <f>IF(Table1[[#This Row],[I-E]]&gt;0.5,"I","E") &amp; IF(Table1[[#This Row],[S-N]]&gt;0.5,"S","N") &amp; IF(Table1[[#This Row],[T-F]]&gt;0.5,"T","F") &amp; IF(Table1[[#This Row],[J-P]]&gt;0.5,"J","P")</f>
        <v>INTJ</v>
      </c>
      <c r="H61" s="93">
        <f>VALUE(LEFT(Table1[[#This Row],[Class]], FIND(".",Table1[[#This Row],[Class]])-1))</f>
        <v>7</v>
      </c>
      <c r="I61" s="93">
        <f>VALUE(RIGHT(Table1[[#This Row],[Class]],LEN(Table1[[#This Row],[Class]]) - FIND(".",Table1[[#This Row],[Class]])))</f>
        <v>2</v>
      </c>
    </row>
    <row r="62" spans="1:9" ht="21.6" x14ac:dyDescent="0.25">
      <c r="A62" s="10">
        <v>7203</v>
      </c>
      <c r="B62" s="91">
        <v>7.2</v>
      </c>
      <c r="C62" s="96">
        <v>0.53333333333333333</v>
      </c>
      <c r="D62" s="96">
        <v>0.46666666666666667</v>
      </c>
      <c r="E62" s="96">
        <v>0.6</v>
      </c>
      <c r="F62" s="96">
        <v>6.6666666666666652E-2</v>
      </c>
      <c r="G62" s="83" t="str">
        <f>IF(Table1[[#This Row],[I-E]]&gt;0.5,"I","E") &amp; IF(Table1[[#This Row],[S-N]]&gt;0.5,"S","N") &amp; IF(Table1[[#This Row],[T-F]]&gt;0.5,"T","F") &amp; IF(Table1[[#This Row],[J-P]]&gt;0.5,"J","P")</f>
        <v>INTP</v>
      </c>
      <c r="H62" s="93">
        <f>VALUE(LEFT(Table1[[#This Row],[Class]], FIND(".",Table1[[#This Row],[Class]])-1))</f>
        <v>7</v>
      </c>
      <c r="I62" s="93">
        <f>VALUE(RIGHT(Table1[[#This Row],[Class]],LEN(Table1[[#This Row],[Class]]) - FIND(".",Table1[[#This Row],[Class]])))</f>
        <v>2</v>
      </c>
    </row>
    <row r="63" spans="1:9" ht="21.6" x14ac:dyDescent="0.25">
      <c r="A63" s="10">
        <v>7204</v>
      </c>
      <c r="B63" s="91">
        <v>7.2</v>
      </c>
      <c r="C63" s="96">
        <v>0.8666666666666667</v>
      </c>
      <c r="D63" s="96">
        <v>0.46666666666666667</v>
      </c>
      <c r="E63" s="96">
        <v>0.8666666666666667</v>
      </c>
      <c r="F63" s="96">
        <v>0.66666666666666663</v>
      </c>
      <c r="G63" s="83" t="str">
        <f>IF(Table1[[#This Row],[I-E]]&gt;0.5,"I","E") &amp; IF(Table1[[#This Row],[S-N]]&gt;0.5,"S","N") &amp; IF(Table1[[#This Row],[T-F]]&gt;0.5,"T","F") &amp; IF(Table1[[#This Row],[J-P]]&gt;0.5,"J","P")</f>
        <v>INTJ</v>
      </c>
      <c r="H63" s="93">
        <f>VALUE(LEFT(Table1[[#This Row],[Class]], FIND(".",Table1[[#This Row],[Class]])-1))</f>
        <v>7</v>
      </c>
      <c r="I63" s="93">
        <f>VALUE(RIGHT(Table1[[#This Row],[Class]],LEN(Table1[[#This Row],[Class]]) - FIND(".",Table1[[#This Row],[Class]])))</f>
        <v>2</v>
      </c>
    </row>
    <row r="64" spans="1:9" ht="21.6" x14ac:dyDescent="0.25">
      <c r="A64" s="10">
        <v>7205</v>
      </c>
      <c r="B64" s="91">
        <v>7.2</v>
      </c>
      <c r="C64" s="96">
        <v>0.73333333333333328</v>
      </c>
      <c r="D64" s="96">
        <v>0.46666666666666667</v>
      </c>
      <c r="E64" s="96">
        <v>0.4</v>
      </c>
      <c r="F64" s="96">
        <v>0.4</v>
      </c>
      <c r="G64" s="83" t="str">
        <f>IF(Table1[[#This Row],[I-E]]&gt;0.5,"I","E") &amp; IF(Table1[[#This Row],[S-N]]&gt;0.5,"S","N") &amp; IF(Table1[[#This Row],[T-F]]&gt;0.5,"T","F") &amp; IF(Table1[[#This Row],[J-P]]&gt;0.5,"J","P")</f>
        <v>INFP</v>
      </c>
      <c r="H64" s="93">
        <f>VALUE(LEFT(Table1[[#This Row],[Class]], FIND(".",Table1[[#This Row],[Class]])-1))</f>
        <v>7</v>
      </c>
      <c r="I64" s="93">
        <f>VALUE(RIGHT(Table1[[#This Row],[Class]],LEN(Table1[[#This Row],[Class]]) - FIND(".",Table1[[#This Row],[Class]])))</f>
        <v>2</v>
      </c>
    </row>
    <row r="65" spans="1:9" ht="21.6" x14ac:dyDescent="0.25">
      <c r="A65" s="10">
        <v>7206</v>
      </c>
      <c r="B65" s="91">
        <v>7.2</v>
      </c>
      <c r="C65" s="96">
        <v>1</v>
      </c>
      <c r="D65" s="96">
        <v>0.4</v>
      </c>
      <c r="E65" s="96">
        <v>0.66666666666666663</v>
      </c>
      <c r="F65" s="96">
        <v>0.1333333333333333</v>
      </c>
      <c r="G65" s="83" t="str">
        <f>IF(Table1[[#This Row],[I-E]]&gt;0.5,"I","E") &amp; IF(Table1[[#This Row],[S-N]]&gt;0.5,"S","N") &amp; IF(Table1[[#This Row],[T-F]]&gt;0.5,"T","F") &amp; IF(Table1[[#This Row],[J-P]]&gt;0.5,"J","P")</f>
        <v>INTP</v>
      </c>
      <c r="H65" s="93">
        <f>VALUE(LEFT(Table1[[#This Row],[Class]], FIND(".",Table1[[#This Row],[Class]])-1))</f>
        <v>7</v>
      </c>
      <c r="I65" s="93">
        <f>VALUE(RIGHT(Table1[[#This Row],[Class]],LEN(Table1[[#This Row],[Class]]) - FIND(".",Table1[[#This Row],[Class]])))</f>
        <v>2</v>
      </c>
    </row>
    <row r="66" spans="1:9" ht="21.6" x14ac:dyDescent="0.25">
      <c r="A66" s="10">
        <v>7207</v>
      </c>
      <c r="B66" s="91">
        <v>7.2</v>
      </c>
      <c r="C66" s="96">
        <v>0.6</v>
      </c>
      <c r="D66" s="96">
        <v>0.26666666666666661</v>
      </c>
      <c r="E66" s="96">
        <v>0.6</v>
      </c>
      <c r="F66" s="96">
        <v>0.26666666666666661</v>
      </c>
      <c r="G66" s="83" t="str">
        <f>IF(Table1[[#This Row],[I-E]]&gt;0.5,"I","E") &amp; IF(Table1[[#This Row],[S-N]]&gt;0.5,"S","N") &amp; IF(Table1[[#This Row],[T-F]]&gt;0.5,"T","F") &amp; IF(Table1[[#This Row],[J-P]]&gt;0.5,"J","P")</f>
        <v>INTP</v>
      </c>
      <c r="H66" s="93">
        <f>VALUE(LEFT(Table1[[#This Row],[Class]], FIND(".",Table1[[#This Row],[Class]])-1))</f>
        <v>7</v>
      </c>
      <c r="I66" s="93">
        <f>VALUE(RIGHT(Table1[[#This Row],[Class]],LEN(Table1[[#This Row],[Class]]) - FIND(".",Table1[[#This Row],[Class]])))</f>
        <v>2</v>
      </c>
    </row>
    <row r="67" spans="1:9" ht="21.6" x14ac:dyDescent="0.25">
      <c r="A67" s="10">
        <v>7208</v>
      </c>
      <c r="B67" s="91">
        <v>7.2</v>
      </c>
      <c r="C67" s="96">
        <v>0.8</v>
      </c>
      <c r="D67" s="96">
        <v>0.33333333333333326</v>
      </c>
      <c r="E67" s="96">
        <v>0.66666666666666663</v>
      </c>
      <c r="F67" s="96">
        <v>0.53333333333333333</v>
      </c>
      <c r="G67" s="83" t="str">
        <f>IF(Table1[[#This Row],[I-E]]&gt;0.5,"I","E") &amp; IF(Table1[[#This Row],[S-N]]&gt;0.5,"S","N") &amp; IF(Table1[[#This Row],[T-F]]&gt;0.5,"T","F") &amp; IF(Table1[[#This Row],[J-P]]&gt;0.5,"J","P")</f>
        <v>INTJ</v>
      </c>
      <c r="H67" s="93">
        <f>VALUE(LEFT(Table1[[#This Row],[Class]], FIND(".",Table1[[#This Row],[Class]])-1))</f>
        <v>7</v>
      </c>
      <c r="I67" s="93">
        <f>VALUE(RIGHT(Table1[[#This Row],[Class]],LEN(Table1[[#This Row],[Class]]) - FIND(".",Table1[[#This Row],[Class]])))</f>
        <v>2</v>
      </c>
    </row>
    <row r="68" spans="1:9" ht="21.6" x14ac:dyDescent="0.25">
      <c r="A68" s="10">
        <v>7209</v>
      </c>
      <c r="B68" s="91">
        <v>7.2</v>
      </c>
      <c r="C68" s="96">
        <v>0.8666666666666667</v>
      </c>
      <c r="D68" s="96">
        <v>0.53333333333333333</v>
      </c>
      <c r="E68" s="96">
        <v>0.66666666666666663</v>
      </c>
      <c r="F68" s="96">
        <v>0.46666666666666667</v>
      </c>
      <c r="G68" s="83" t="str">
        <f>IF(Table1[[#This Row],[I-E]]&gt;0.5,"I","E") &amp; IF(Table1[[#This Row],[S-N]]&gt;0.5,"S","N") &amp; IF(Table1[[#This Row],[T-F]]&gt;0.5,"T","F") &amp; IF(Table1[[#This Row],[J-P]]&gt;0.5,"J","P")</f>
        <v>ISTP</v>
      </c>
      <c r="H68" s="93">
        <f>VALUE(LEFT(Table1[[#This Row],[Class]], FIND(".",Table1[[#This Row],[Class]])-1))</f>
        <v>7</v>
      </c>
      <c r="I68" s="93">
        <f>VALUE(RIGHT(Table1[[#This Row],[Class]],LEN(Table1[[#This Row],[Class]]) - FIND(".",Table1[[#This Row],[Class]])))</f>
        <v>2</v>
      </c>
    </row>
    <row r="69" spans="1:9" ht="21.6" x14ac:dyDescent="0.25">
      <c r="A69" s="10">
        <v>7210</v>
      </c>
      <c r="B69" s="91">
        <v>7.2</v>
      </c>
      <c r="C69" s="96">
        <v>0.6</v>
      </c>
      <c r="D69" s="96">
        <v>0.4</v>
      </c>
      <c r="E69" s="96">
        <v>0.73333333333333328</v>
      </c>
      <c r="F69" s="96">
        <v>0.46666666666666667</v>
      </c>
      <c r="G69" s="83" t="str">
        <f>IF(Table1[[#This Row],[I-E]]&gt;0.5,"I","E") &amp; IF(Table1[[#This Row],[S-N]]&gt;0.5,"S","N") &amp; IF(Table1[[#This Row],[T-F]]&gt;0.5,"T","F") &amp; IF(Table1[[#This Row],[J-P]]&gt;0.5,"J","P")</f>
        <v>INTP</v>
      </c>
      <c r="H69" s="93">
        <f>VALUE(LEFT(Table1[[#This Row],[Class]], FIND(".",Table1[[#This Row],[Class]])-1))</f>
        <v>7</v>
      </c>
      <c r="I69" s="93">
        <f>VALUE(RIGHT(Table1[[#This Row],[Class]],LEN(Table1[[#This Row],[Class]]) - FIND(".",Table1[[#This Row],[Class]])))</f>
        <v>2</v>
      </c>
    </row>
    <row r="70" spans="1:9" ht="21.6" x14ac:dyDescent="0.25">
      <c r="A70" s="10">
        <v>7211</v>
      </c>
      <c r="B70" s="91">
        <v>7.2</v>
      </c>
      <c r="C70" s="96">
        <v>0.46666666666666667</v>
      </c>
      <c r="D70" s="96">
        <v>0.73333333333333328</v>
      </c>
      <c r="E70" s="96">
        <v>0.6</v>
      </c>
      <c r="F70" s="96">
        <v>0.73333333333333328</v>
      </c>
      <c r="G70" s="83" t="str">
        <f>IF(Table1[[#This Row],[I-E]]&gt;0.5,"I","E") &amp; IF(Table1[[#This Row],[S-N]]&gt;0.5,"S","N") &amp; IF(Table1[[#This Row],[T-F]]&gt;0.5,"T","F") &amp; IF(Table1[[#This Row],[J-P]]&gt;0.5,"J","P")</f>
        <v>ESTJ</v>
      </c>
      <c r="H70" s="93">
        <f>VALUE(LEFT(Table1[[#This Row],[Class]], FIND(".",Table1[[#This Row],[Class]])-1))</f>
        <v>7</v>
      </c>
      <c r="I70" s="93">
        <f>VALUE(RIGHT(Table1[[#This Row],[Class]],LEN(Table1[[#This Row],[Class]]) - FIND(".",Table1[[#This Row],[Class]])))</f>
        <v>2</v>
      </c>
    </row>
    <row r="71" spans="1:9" ht="21.6" x14ac:dyDescent="0.25">
      <c r="A71" s="10">
        <v>7212</v>
      </c>
      <c r="B71" s="91">
        <v>7.2</v>
      </c>
      <c r="C71" s="96">
        <v>0.26666666666666661</v>
      </c>
      <c r="D71" s="96">
        <v>0.4</v>
      </c>
      <c r="E71" s="96">
        <v>0.8666666666666667</v>
      </c>
      <c r="F71" s="96">
        <v>0.26666666666666661</v>
      </c>
      <c r="G71" s="83" t="str">
        <f>IF(Table1[[#This Row],[I-E]]&gt;0.5,"I","E") &amp; IF(Table1[[#This Row],[S-N]]&gt;0.5,"S","N") &amp; IF(Table1[[#This Row],[T-F]]&gt;0.5,"T","F") &amp; IF(Table1[[#This Row],[J-P]]&gt;0.5,"J","P")</f>
        <v>ENTP</v>
      </c>
      <c r="H71" s="93">
        <f>VALUE(LEFT(Table1[[#This Row],[Class]], FIND(".",Table1[[#This Row],[Class]])-1))</f>
        <v>7</v>
      </c>
      <c r="I71" s="93">
        <f>VALUE(RIGHT(Table1[[#This Row],[Class]],LEN(Table1[[#This Row],[Class]]) - FIND(".",Table1[[#This Row],[Class]])))</f>
        <v>2</v>
      </c>
    </row>
    <row r="72" spans="1:9" ht="21.6" x14ac:dyDescent="0.25">
      <c r="A72" s="10">
        <v>7213</v>
      </c>
      <c r="B72" s="91">
        <v>7.2</v>
      </c>
      <c r="C72" s="96">
        <v>0.6</v>
      </c>
      <c r="D72" s="96">
        <v>0.73333333333333328</v>
      </c>
      <c r="E72" s="96">
        <v>0.6</v>
      </c>
      <c r="F72" s="96">
        <v>0.53333333333333333</v>
      </c>
      <c r="G72" s="83" t="str">
        <f>IF(Table1[[#This Row],[I-E]]&gt;0.5,"I","E") &amp; IF(Table1[[#This Row],[S-N]]&gt;0.5,"S","N") &amp; IF(Table1[[#This Row],[T-F]]&gt;0.5,"T","F") &amp; IF(Table1[[#This Row],[J-P]]&gt;0.5,"J","P")</f>
        <v>ISTJ</v>
      </c>
      <c r="H72" s="93">
        <f>VALUE(LEFT(Table1[[#This Row],[Class]], FIND(".",Table1[[#This Row],[Class]])-1))</f>
        <v>7</v>
      </c>
      <c r="I72" s="93">
        <f>VALUE(RIGHT(Table1[[#This Row],[Class]],LEN(Table1[[#This Row],[Class]]) - FIND(".",Table1[[#This Row],[Class]])))</f>
        <v>2</v>
      </c>
    </row>
    <row r="73" spans="1:9" ht="21.6" x14ac:dyDescent="0.25">
      <c r="A73" s="10">
        <v>7214</v>
      </c>
      <c r="B73" s="91">
        <v>7.2</v>
      </c>
      <c r="C73" s="96">
        <v>0.53333333333333333</v>
      </c>
      <c r="D73" s="96">
        <v>0.33333333333333326</v>
      </c>
      <c r="E73" s="96">
        <v>0.33333333333333326</v>
      </c>
      <c r="F73" s="96">
        <v>0.66666666666666663</v>
      </c>
      <c r="G73" s="83" t="str">
        <f>IF(Table1[[#This Row],[I-E]]&gt;0.5,"I","E") &amp; IF(Table1[[#This Row],[S-N]]&gt;0.5,"S","N") &amp; IF(Table1[[#This Row],[T-F]]&gt;0.5,"T","F") &amp; IF(Table1[[#This Row],[J-P]]&gt;0.5,"J","P")</f>
        <v>INFJ</v>
      </c>
      <c r="H73" s="93">
        <f>VALUE(LEFT(Table1[[#This Row],[Class]], FIND(".",Table1[[#This Row],[Class]])-1))</f>
        <v>7</v>
      </c>
      <c r="I73" s="93">
        <f>VALUE(RIGHT(Table1[[#This Row],[Class]],LEN(Table1[[#This Row],[Class]]) - FIND(".",Table1[[#This Row],[Class]])))</f>
        <v>2</v>
      </c>
    </row>
    <row r="74" spans="1:9" ht="21.6" x14ac:dyDescent="0.25">
      <c r="A74" s="10">
        <v>7215</v>
      </c>
      <c r="B74" s="91">
        <v>7.2</v>
      </c>
      <c r="C74" s="96">
        <v>0.93333333333333335</v>
      </c>
      <c r="D74" s="96">
        <v>0.6</v>
      </c>
      <c r="E74" s="96">
        <v>0.6</v>
      </c>
      <c r="F74" s="96">
        <v>0.4</v>
      </c>
      <c r="G74" s="83" t="str">
        <f>IF(Table1[[#This Row],[I-E]]&gt;0.5,"I","E") &amp; IF(Table1[[#This Row],[S-N]]&gt;0.5,"S","N") &amp; IF(Table1[[#This Row],[T-F]]&gt;0.5,"T","F") &amp; IF(Table1[[#This Row],[J-P]]&gt;0.5,"J","P")</f>
        <v>ISTP</v>
      </c>
      <c r="H74" s="93">
        <f>VALUE(LEFT(Table1[[#This Row],[Class]], FIND(".",Table1[[#This Row],[Class]])-1))</f>
        <v>7</v>
      </c>
      <c r="I74" s="93">
        <f>VALUE(RIGHT(Table1[[#This Row],[Class]],LEN(Table1[[#This Row],[Class]]) - FIND(".",Table1[[#This Row],[Class]])))</f>
        <v>2</v>
      </c>
    </row>
    <row r="75" spans="1:9" ht="21.6" x14ac:dyDescent="0.25">
      <c r="A75" s="10">
        <v>7216</v>
      </c>
      <c r="B75" s="91">
        <v>7.2</v>
      </c>
      <c r="C75" s="96">
        <v>0.53333333333333333</v>
      </c>
      <c r="D75" s="96">
        <v>0.1333333333333333</v>
      </c>
      <c r="E75" s="96">
        <v>0.8</v>
      </c>
      <c r="F75" s="96">
        <v>0.53333333333333333</v>
      </c>
      <c r="G75" s="83" t="str">
        <f>IF(Table1[[#This Row],[I-E]]&gt;0.5,"I","E") &amp; IF(Table1[[#This Row],[S-N]]&gt;0.5,"S","N") &amp; IF(Table1[[#This Row],[T-F]]&gt;0.5,"T","F") &amp; IF(Table1[[#This Row],[J-P]]&gt;0.5,"J","P")</f>
        <v>INTJ</v>
      </c>
      <c r="H75" s="93">
        <f>VALUE(LEFT(Table1[[#This Row],[Class]], FIND(".",Table1[[#This Row],[Class]])-1))</f>
        <v>7</v>
      </c>
      <c r="I75" s="93">
        <f>VALUE(RIGHT(Table1[[#This Row],[Class]],LEN(Table1[[#This Row],[Class]]) - FIND(".",Table1[[#This Row],[Class]])))</f>
        <v>2</v>
      </c>
    </row>
    <row r="76" spans="1:9" ht="21.6" x14ac:dyDescent="0.25">
      <c r="A76" s="10">
        <v>7217</v>
      </c>
      <c r="B76" s="91">
        <v>7.2</v>
      </c>
      <c r="C76" s="96">
        <v>0.53333333333333333</v>
      </c>
      <c r="D76" s="96">
        <v>0.46666666666666667</v>
      </c>
      <c r="E76" s="96">
        <v>0.8</v>
      </c>
      <c r="F76" s="96">
        <v>0.66666666666666663</v>
      </c>
      <c r="G76" s="83" t="str">
        <f>IF(Table1[[#This Row],[I-E]]&gt;0.5,"I","E") &amp; IF(Table1[[#This Row],[S-N]]&gt;0.5,"S","N") &amp; IF(Table1[[#This Row],[T-F]]&gt;0.5,"T","F") &amp; IF(Table1[[#This Row],[J-P]]&gt;0.5,"J","P")</f>
        <v>INTJ</v>
      </c>
      <c r="H76" s="93">
        <f>VALUE(LEFT(Table1[[#This Row],[Class]], FIND(".",Table1[[#This Row],[Class]])-1))</f>
        <v>7</v>
      </c>
      <c r="I76" s="93">
        <f>VALUE(RIGHT(Table1[[#This Row],[Class]],LEN(Table1[[#This Row],[Class]]) - FIND(".",Table1[[#This Row],[Class]])))</f>
        <v>2</v>
      </c>
    </row>
    <row r="77" spans="1:9" ht="21.6" x14ac:dyDescent="0.25">
      <c r="A77" s="10">
        <v>7218</v>
      </c>
      <c r="B77" s="91">
        <v>7.2</v>
      </c>
      <c r="C77" s="96">
        <v>0.66666666666666663</v>
      </c>
      <c r="D77" s="96">
        <v>0.4</v>
      </c>
      <c r="E77" s="96">
        <v>0.8</v>
      </c>
      <c r="F77" s="96">
        <v>6.6666666666666652E-2</v>
      </c>
      <c r="G77" s="83" t="str">
        <f>IF(Table1[[#This Row],[I-E]]&gt;0.5,"I","E") &amp; IF(Table1[[#This Row],[S-N]]&gt;0.5,"S","N") &amp; IF(Table1[[#This Row],[T-F]]&gt;0.5,"T","F") &amp; IF(Table1[[#This Row],[J-P]]&gt;0.5,"J","P")</f>
        <v>INTP</v>
      </c>
      <c r="H77" s="93">
        <f>VALUE(LEFT(Table1[[#This Row],[Class]], FIND(".",Table1[[#This Row],[Class]])-1))</f>
        <v>7</v>
      </c>
      <c r="I77" s="93">
        <f>VALUE(RIGHT(Table1[[#This Row],[Class]],LEN(Table1[[#This Row],[Class]]) - FIND(".",Table1[[#This Row],[Class]])))</f>
        <v>2</v>
      </c>
    </row>
    <row r="78" spans="1:9" ht="21.6" x14ac:dyDescent="0.25">
      <c r="A78" s="10">
        <v>7219</v>
      </c>
      <c r="B78" s="91">
        <v>7.2</v>
      </c>
      <c r="C78" s="96">
        <v>0.8666666666666667</v>
      </c>
      <c r="D78" s="96">
        <v>0.66666666666666663</v>
      </c>
      <c r="E78" s="96">
        <v>0.66666666666666663</v>
      </c>
      <c r="F78" s="96">
        <v>0.46666666666666667</v>
      </c>
      <c r="G78" s="83" t="str">
        <f>IF(Table1[[#This Row],[I-E]]&gt;0.5,"I","E") &amp; IF(Table1[[#This Row],[S-N]]&gt;0.5,"S","N") &amp; IF(Table1[[#This Row],[T-F]]&gt;0.5,"T","F") &amp; IF(Table1[[#This Row],[J-P]]&gt;0.5,"J","P")</f>
        <v>ISTP</v>
      </c>
      <c r="H78" s="93">
        <f>VALUE(LEFT(Table1[[#This Row],[Class]], FIND(".",Table1[[#This Row],[Class]])-1))</f>
        <v>7</v>
      </c>
      <c r="I78" s="93">
        <f>VALUE(RIGHT(Table1[[#This Row],[Class]],LEN(Table1[[#This Row],[Class]]) - FIND(".",Table1[[#This Row],[Class]])))</f>
        <v>2</v>
      </c>
    </row>
    <row r="79" spans="1:9" ht="21.6" x14ac:dyDescent="0.25">
      <c r="A79" s="10">
        <v>7220</v>
      </c>
      <c r="B79" s="91">
        <v>7.2</v>
      </c>
      <c r="C79" s="96">
        <v>0.93333333333333335</v>
      </c>
      <c r="D79" s="96">
        <v>0.66666666666666663</v>
      </c>
      <c r="E79" s="96">
        <v>0.66666666666666663</v>
      </c>
      <c r="F79" s="96">
        <v>0.66666666666666663</v>
      </c>
      <c r="G79" s="83" t="str">
        <f>IF(Table1[[#This Row],[I-E]]&gt;0.5,"I","E") &amp; IF(Table1[[#This Row],[S-N]]&gt;0.5,"S","N") &amp; IF(Table1[[#This Row],[T-F]]&gt;0.5,"T","F") &amp; IF(Table1[[#This Row],[J-P]]&gt;0.5,"J","P")</f>
        <v>ISTJ</v>
      </c>
      <c r="H79" s="93">
        <f>VALUE(LEFT(Table1[[#This Row],[Class]], FIND(".",Table1[[#This Row],[Class]])-1))</f>
        <v>7</v>
      </c>
      <c r="I79" s="93">
        <f>VALUE(RIGHT(Table1[[#This Row],[Class]],LEN(Table1[[#This Row],[Class]]) - FIND(".",Table1[[#This Row],[Class]])))</f>
        <v>2</v>
      </c>
    </row>
    <row r="80" spans="1:9" ht="21.6" x14ac:dyDescent="0.25">
      <c r="A80" s="10">
        <v>7221</v>
      </c>
      <c r="B80" s="91">
        <v>7.2</v>
      </c>
      <c r="C80" s="96">
        <v>0.19999999999999996</v>
      </c>
      <c r="D80" s="96">
        <v>0.53333333333333333</v>
      </c>
      <c r="E80" s="96">
        <v>0.8</v>
      </c>
      <c r="F80" s="96">
        <v>0.4</v>
      </c>
      <c r="G80" s="83" t="str">
        <f>IF(Table1[[#This Row],[I-E]]&gt;0.5,"I","E") &amp; IF(Table1[[#This Row],[S-N]]&gt;0.5,"S","N") &amp; IF(Table1[[#This Row],[T-F]]&gt;0.5,"T","F") &amp; IF(Table1[[#This Row],[J-P]]&gt;0.5,"J","P")</f>
        <v>ESTP</v>
      </c>
      <c r="H80" s="93">
        <f>VALUE(LEFT(Table1[[#This Row],[Class]], FIND(".",Table1[[#This Row],[Class]])-1))</f>
        <v>7</v>
      </c>
      <c r="I80" s="93">
        <f>VALUE(RIGHT(Table1[[#This Row],[Class]],LEN(Table1[[#This Row],[Class]]) - FIND(".",Table1[[#This Row],[Class]])))</f>
        <v>2</v>
      </c>
    </row>
    <row r="81" spans="1:9" ht="21.6" x14ac:dyDescent="0.25">
      <c r="A81" s="10">
        <v>7222</v>
      </c>
      <c r="B81" s="91">
        <v>7.2</v>
      </c>
      <c r="C81" s="96">
        <v>0.8</v>
      </c>
      <c r="D81" s="96">
        <v>0.46666666666666667</v>
      </c>
      <c r="E81" s="96">
        <v>1</v>
      </c>
      <c r="F81" s="96">
        <v>0.33333333333333326</v>
      </c>
      <c r="G81" s="83" t="str">
        <f>IF(Table1[[#This Row],[I-E]]&gt;0.5,"I","E") &amp; IF(Table1[[#This Row],[S-N]]&gt;0.5,"S","N") &amp; IF(Table1[[#This Row],[T-F]]&gt;0.5,"T","F") &amp; IF(Table1[[#This Row],[J-P]]&gt;0.5,"J","P")</f>
        <v>INTP</v>
      </c>
      <c r="H81" s="93">
        <f>VALUE(LEFT(Table1[[#This Row],[Class]], FIND(".",Table1[[#This Row],[Class]])-1))</f>
        <v>7</v>
      </c>
      <c r="I81" s="93">
        <f>VALUE(RIGHT(Table1[[#This Row],[Class]],LEN(Table1[[#This Row],[Class]]) - FIND(".",Table1[[#This Row],[Class]])))</f>
        <v>2</v>
      </c>
    </row>
    <row r="82" spans="1:9" ht="21.6" x14ac:dyDescent="0.25">
      <c r="A82" s="10">
        <v>7223</v>
      </c>
      <c r="B82" s="91">
        <v>7.2</v>
      </c>
      <c r="C82" s="96">
        <v>0.53333333333333333</v>
      </c>
      <c r="D82" s="96">
        <v>0.8</v>
      </c>
      <c r="E82" s="96">
        <v>0.6</v>
      </c>
      <c r="F82" s="96">
        <v>0.1333333333333333</v>
      </c>
      <c r="G82" s="83" t="str">
        <f>IF(Table1[[#This Row],[I-E]]&gt;0.5,"I","E") &amp; IF(Table1[[#This Row],[S-N]]&gt;0.5,"S","N") &amp; IF(Table1[[#This Row],[T-F]]&gt;0.5,"T","F") &amp; IF(Table1[[#This Row],[J-P]]&gt;0.5,"J","P")</f>
        <v>ISTP</v>
      </c>
      <c r="H82" s="93">
        <f>VALUE(LEFT(Table1[[#This Row],[Class]], FIND(".",Table1[[#This Row],[Class]])-1))</f>
        <v>7</v>
      </c>
      <c r="I82" s="93">
        <f>VALUE(RIGHT(Table1[[#This Row],[Class]],LEN(Table1[[#This Row],[Class]]) - FIND(".",Table1[[#This Row],[Class]])))</f>
        <v>2</v>
      </c>
    </row>
    <row r="83" spans="1:9" ht="21.6" x14ac:dyDescent="0.25">
      <c r="A83" s="10">
        <v>7224</v>
      </c>
      <c r="B83" s="91">
        <v>7.2</v>
      </c>
      <c r="C83" s="96">
        <v>0.46666666666666667</v>
      </c>
      <c r="D83" s="96">
        <v>0.26666666666666661</v>
      </c>
      <c r="E83" s="96">
        <v>0.73333333333333328</v>
      </c>
      <c r="F83" s="96">
        <v>0.6</v>
      </c>
      <c r="G83" s="83" t="str">
        <f>IF(Table1[[#This Row],[I-E]]&gt;0.5,"I","E") &amp; IF(Table1[[#This Row],[S-N]]&gt;0.5,"S","N") &amp; IF(Table1[[#This Row],[T-F]]&gt;0.5,"T","F") &amp; IF(Table1[[#This Row],[J-P]]&gt;0.5,"J","P")</f>
        <v>ENTJ</v>
      </c>
      <c r="H83" s="93">
        <f>VALUE(LEFT(Table1[[#This Row],[Class]], FIND(".",Table1[[#This Row],[Class]])-1))</f>
        <v>7</v>
      </c>
      <c r="I83" s="93">
        <f>VALUE(RIGHT(Table1[[#This Row],[Class]],LEN(Table1[[#This Row],[Class]]) - FIND(".",Table1[[#This Row],[Class]])))</f>
        <v>2</v>
      </c>
    </row>
    <row r="84" spans="1:9" ht="21.6" x14ac:dyDescent="0.25">
      <c r="A84" s="10">
        <v>7225</v>
      </c>
      <c r="B84" s="91">
        <v>7.2</v>
      </c>
      <c r="C84" s="96">
        <v>0.93333333333333335</v>
      </c>
      <c r="D84" s="96">
        <v>0.6</v>
      </c>
      <c r="E84" s="96">
        <v>0.8666666666666667</v>
      </c>
      <c r="F84" s="96">
        <v>0.53333333333333333</v>
      </c>
      <c r="G84" s="83" t="str">
        <f>IF(Table1[[#This Row],[I-E]]&gt;0.5,"I","E") &amp; IF(Table1[[#This Row],[S-N]]&gt;0.5,"S","N") &amp; IF(Table1[[#This Row],[T-F]]&gt;0.5,"T","F") &amp; IF(Table1[[#This Row],[J-P]]&gt;0.5,"J","P")</f>
        <v>ISTJ</v>
      </c>
      <c r="H84" s="93">
        <f>VALUE(LEFT(Table1[[#This Row],[Class]], FIND(".",Table1[[#This Row],[Class]])-1))</f>
        <v>7</v>
      </c>
      <c r="I84" s="93">
        <f>VALUE(RIGHT(Table1[[#This Row],[Class]],LEN(Table1[[#This Row],[Class]]) - FIND(".",Table1[[#This Row],[Class]])))</f>
        <v>2</v>
      </c>
    </row>
    <row r="85" spans="1:9" ht="21.6" x14ac:dyDescent="0.25">
      <c r="A85" s="10">
        <v>7226</v>
      </c>
      <c r="B85" s="91">
        <v>7.2</v>
      </c>
      <c r="C85" s="96">
        <v>0.8666666666666667</v>
      </c>
      <c r="D85" s="96">
        <v>0.53333333333333333</v>
      </c>
      <c r="E85" s="96">
        <v>0.93333333333333335</v>
      </c>
      <c r="F85" s="96">
        <v>0.33333333333333326</v>
      </c>
      <c r="G85" s="83" t="str">
        <f>IF(Table1[[#This Row],[I-E]]&gt;0.5,"I","E") &amp; IF(Table1[[#This Row],[S-N]]&gt;0.5,"S","N") &amp; IF(Table1[[#This Row],[T-F]]&gt;0.5,"T","F") &amp; IF(Table1[[#This Row],[J-P]]&gt;0.5,"J","P")</f>
        <v>ISTP</v>
      </c>
      <c r="H85" s="93">
        <f>VALUE(LEFT(Table1[[#This Row],[Class]], FIND(".",Table1[[#This Row],[Class]])-1))</f>
        <v>7</v>
      </c>
      <c r="I85" s="93">
        <f>VALUE(RIGHT(Table1[[#This Row],[Class]],LEN(Table1[[#This Row],[Class]]) - FIND(".",Table1[[#This Row],[Class]])))</f>
        <v>2</v>
      </c>
    </row>
    <row r="86" spans="1:9" ht="21.6" x14ac:dyDescent="0.25">
      <c r="A86" s="10">
        <v>7227</v>
      </c>
      <c r="B86" s="91">
        <v>7.2</v>
      </c>
      <c r="C86" s="96">
        <v>0.8666666666666667</v>
      </c>
      <c r="D86" s="96">
        <v>0.6</v>
      </c>
      <c r="E86" s="96">
        <v>0.73333333333333328</v>
      </c>
      <c r="F86" s="96">
        <v>0.4</v>
      </c>
      <c r="G86" s="83" t="str">
        <f>IF(Table1[[#This Row],[I-E]]&gt;0.5,"I","E") &amp; IF(Table1[[#This Row],[S-N]]&gt;0.5,"S","N") &amp; IF(Table1[[#This Row],[T-F]]&gt;0.5,"T","F") &amp; IF(Table1[[#This Row],[J-P]]&gt;0.5,"J","P")</f>
        <v>ISTP</v>
      </c>
      <c r="H86" s="93">
        <f>VALUE(LEFT(Table1[[#This Row],[Class]], FIND(".",Table1[[#This Row],[Class]])-1))</f>
        <v>7</v>
      </c>
      <c r="I86" s="93">
        <f>VALUE(RIGHT(Table1[[#This Row],[Class]],LEN(Table1[[#This Row],[Class]]) - FIND(".",Table1[[#This Row],[Class]])))</f>
        <v>2</v>
      </c>
    </row>
    <row r="87" spans="1:9" ht="21.6" x14ac:dyDescent="0.25">
      <c r="A87" s="10">
        <v>7228</v>
      </c>
      <c r="B87" s="91">
        <v>7.2</v>
      </c>
      <c r="C87" s="96">
        <v>1</v>
      </c>
      <c r="D87" s="96">
        <v>0.66666666666666663</v>
      </c>
      <c r="E87" s="96">
        <v>0.26666666666666661</v>
      </c>
      <c r="F87" s="96">
        <v>0.73333333333333328</v>
      </c>
      <c r="G87" s="83" t="str">
        <f>IF(Table1[[#This Row],[I-E]]&gt;0.5,"I","E") &amp; IF(Table1[[#This Row],[S-N]]&gt;0.5,"S","N") &amp; IF(Table1[[#This Row],[T-F]]&gt;0.5,"T","F") &amp; IF(Table1[[#This Row],[J-P]]&gt;0.5,"J","P")</f>
        <v>ISFJ</v>
      </c>
      <c r="H87" s="93">
        <f>VALUE(LEFT(Table1[[#This Row],[Class]], FIND(".",Table1[[#This Row],[Class]])-1))</f>
        <v>7</v>
      </c>
      <c r="I87" s="93">
        <f>VALUE(RIGHT(Table1[[#This Row],[Class]],LEN(Table1[[#This Row],[Class]]) - FIND(".",Table1[[#This Row],[Class]])))</f>
        <v>2</v>
      </c>
    </row>
    <row r="88" spans="1:9" ht="21.6" x14ac:dyDescent="0.25">
      <c r="A88" s="10">
        <v>7229</v>
      </c>
      <c r="B88" s="91">
        <v>7.2</v>
      </c>
      <c r="C88" s="96">
        <v>0.33333333333333326</v>
      </c>
      <c r="D88" s="96">
        <v>0.33333333333333326</v>
      </c>
      <c r="E88" s="96">
        <v>0.73333333333333328</v>
      </c>
      <c r="F88" s="96">
        <v>0.46666666666666667</v>
      </c>
      <c r="G88" s="83" t="str">
        <f>IF(Table1[[#This Row],[I-E]]&gt;0.5,"I","E") &amp; IF(Table1[[#This Row],[S-N]]&gt;0.5,"S","N") &amp; IF(Table1[[#This Row],[T-F]]&gt;0.5,"T","F") &amp; IF(Table1[[#This Row],[J-P]]&gt;0.5,"J","P")</f>
        <v>ENTP</v>
      </c>
      <c r="H88" s="93">
        <f>VALUE(LEFT(Table1[[#This Row],[Class]], FIND(".",Table1[[#This Row],[Class]])-1))</f>
        <v>7</v>
      </c>
      <c r="I88" s="93">
        <f>VALUE(RIGHT(Table1[[#This Row],[Class]],LEN(Table1[[#This Row],[Class]]) - FIND(".",Table1[[#This Row],[Class]])))</f>
        <v>2</v>
      </c>
    </row>
    <row r="89" spans="1:9" ht="21.6" x14ac:dyDescent="0.25">
      <c r="A89" s="10">
        <v>8101</v>
      </c>
      <c r="B89" s="91">
        <v>8.1</v>
      </c>
      <c r="C89" s="96">
        <v>0.73333333333333328</v>
      </c>
      <c r="D89" s="96">
        <v>0.46666666666666667</v>
      </c>
      <c r="E89" s="96">
        <v>0.73333333333333328</v>
      </c>
      <c r="F89" s="96">
        <v>0.4</v>
      </c>
      <c r="G89" s="83" t="str">
        <f>IF(Table1[[#This Row],[I-E]]&gt;0.5,"I","E") &amp; IF(Table1[[#This Row],[S-N]]&gt;0.5,"S","N") &amp; IF(Table1[[#This Row],[T-F]]&gt;0.5,"T","F") &amp; IF(Table1[[#This Row],[J-P]]&gt;0.5,"J","P")</f>
        <v>INTP</v>
      </c>
      <c r="H89" s="93">
        <f>VALUE(LEFT(Table1[[#This Row],[Class]], FIND(".",Table1[[#This Row],[Class]])-1))</f>
        <v>8</v>
      </c>
      <c r="I89" s="93">
        <f>VALUE(RIGHT(Table1[[#This Row],[Class]],LEN(Table1[[#This Row],[Class]]) - FIND(".",Table1[[#This Row],[Class]])))</f>
        <v>1</v>
      </c>
    </row>
    <row r="90" spans="1:9" ht="21.6" x14ac:dyDescent="0.25">
      <c r="A90" s="10">
        <v>8102</v>
      </c>
      <c r="B90" s="91">
        <v>8.1</v>
      </c>
      <c r="C90" s="96">
        <v>0.46666666666666667</v>
      </c>
      <c r="D90" s="96">
        <v>0.6</v>
      </c>
      <c r="E90" s="96">
        <v>0.66666666666666663</v>
      </c>
      <c r="F90" s="96">
        <v>0.66666666666666663</v>
      </c>
      <c r="G90" s="83" t="str">
        <f>IF(Table1[[#This Row],[I-E]]&gt;0.5,"I","E") &amp; IF(Table1[[#This Row],[S-N]]&gt;0.5,"S","N") &amp; IF(Table1[[#This Row],[T-F]]&gt;0.5,"T","F") &amp; IF(Table1[[#This Row],[J-P]]&gt;0.5,"J","P")</f>
        <v>ESTJ</v>
      </c>
      <c r="H90" s="93">
        <f>VALUE(LEFT(Table1[[#This Row],[Class]], FIND(".",Table1[[#This Row],[Class]])-1))</f>
        <v>8</v>
      </c>
      <c r="I90" s="93">
        <f>VALUE(RIGHT(Table1[[#This Row],[Class]],LEN(Table1[[#This Row],[Class]]) - FIND(".",Table1[[#This Row],[Class]])))</f>
        <v>1</v>
      </c>
    </row>
    <row r="91" spans="1:9" ht="21.6" x14ac:dyDescent="0.25">
      <c r="A91" s="10">
        <v>8103</v>
      </c>
      <c r="B91" s="91">
        <v>8.1</v>
      </c>
      <c r="C91" s="96">
        <v>0.6</v>
      </c>
      <c r="D91" s="96">
        <v>0.46666666666666667</v>
      </c>
      <c r="E91" s="96">
        <v>0.26666666666666661</v>
      </c>
      <c r="F91" s="96">
        <v>0.66666666666666663</v>
      </c>
      <c r="G91" s="83" t="str">
        <f>IF(Table1[[#This Row],[I-E]]&gt;0.5,"I","E") &amp; IF(Table1[[#This Row],[S-N]]&gt;0.5,"S","N") &amp; IF(Table1[[#This Row],[T-F]]&gt;0.5,"T","F") &amp; IF(Table1[[#This Row],[J-P]]&gt;0.5,"J","P")</f>
        <v>INFJ</v>
      </c>
      <c r="H91" s="93">
        <f>VALUE(LEFT(Table1[[#This Row],[Class]], FIND(".",Table1[[#This Row],[Class]])-1))</f>
        <v>8</v>
      </c>
      <c r="I91" s="93">
        <f>VALUE(RIGHT(Table1[[#This Row],[Class]],LEN(Table1[[#This Row],[Class]]) - FIND(".",Table1[[#This Row],[Class]])))</f>
        <v>1</v>
      </c>
    </row>
    <row r="92" spans="1:9" ht="21.6" x14ac:dyDescent="0.25">
      <c r="A92" s="10">
        <v>8104</v>
      </c>
      <c r="B92" s="91">
        <v>8.1</v>
      </c>
      <c r="C92" s="96">
        <v>0.66666666666666663</v>
      </c>
      <c r="D92" s="96">
        <v>0.53333333333333333</v>
      </c>
      <c r="E92" s="96">
        <v>0.73333333333333328</v>
      </c>
      <c r="F92" s="96">
        <v>0.66666666666666663</v>
      </c>
      <c r="G92" s="83" t="str">
        <f>IF(Table1[[#This Row],[I-E]]&gt;0.5,"I","E") &amp; IF(Table1[[#This Row],[S-N]]&gt;0.5,"S","N") &amp; IF(Table1[[#This Row],[T-F]]&gt;0.5,"T","F") &amp; IF(Table1[[#This Row],[J-P]]&gt;0.5,"J","P")</f>
        <v>ISTJ</v>
      </c>
      <c r="H92" s="93">
        <f>VALUE(LEFT(Table1[[#This Row],[Class]], FIND(".",Table1[[#This Row],[Class]])-1))</f>
        <v>8</v>
      </c>
      <c r="I92" s="93">
        <f>VALUE(RIGHT(Table1[[#This Row],[Class]],LEN(Table1[[#This Row],[Class]]) - FIND(".",Table1[[#This Row],[Class]])))</f>
        <v>1</v>
      </c>
    </row>
    <row r="93" spans="1:9" ht="21.6" x14ac:dyDescent="0.25">
      <c r="A93" s="10">
        <v>8105</v>
      </c>
      <c r="B93" s="91">
        <v>8.1</v>
      </c>
      <c r="C93" s="96">
        <v>0.8666666666666667</v>
      </c>
      <c r="D93" s="96">
        <v>0.4</v>
      </c>
      <c r="E93" s="96">
        <v>0.8</v>
      </c>
      <c r="F93" s="96">
        <v>0.46666666666666667</v>
      </c>
      <c r="G93" s="83" t="str">
        <f>IF(Table1[[#This Row],[I-E]]&gt;0.5,"I","E") &amp; IF(Table1[[#This Row],[S-N]]&gt;0.5,"S","N") &amp; IF(Table1[[#This Row],[T-F]]&gt;0.5,"T","F") &amp; IF(Table1[[#This Row],[J-P]]&gt;0.5,"J","P")</f>
        <v>INTP</v>
      </c>
      <c r="H93" s="93">
        <f>VALUE(LEFT(Table1[[#This Row],[Class]], FIND(".",Table1[[#This Row],[Class]])-1))</f>
        <v>8</v>
      </c>
      <c r="I93" s="93">
        <f>VALUE(RIGHT(Table1[[#This Row],[Class]],LEN(Table1[[#This Row],[Class]]) - FIND(".",Table1[[#This Row],[Class]])))</f>
        <v>1</v>
      </c>
    </row>
    <row r="94" spans="1:9" ht="21.6" x14ac:dyDescent="0.25">
      <c r="A94" s="10">
        <v>8106</v>
      </c>
      <c r="B94" s="91">
        <v>8.1</v>
      </c>
      <c r="C94" s="96">
        <v>0.73333333333333328</v>
      </c>
      <c r="D94" s="96">
        <v>0.73333333333333328</v>
      </c>
      <c r="E94" s="96">
        <v>0.66666666666666663</v>
      </c>
      <c r="F94" s="96">
        <v>0.33333333333333326</v>
      </c>
      <c r="G94" s="83" t="str">
        <f>IF(Table1[[#This Row],[I-E]]&gt;0.5,"I","E") &amp; IF(Table1[[#This Row],[S-N]]&gt;0.5,"S","N") &amp; IF(Table1[[#This Row],[T-F]]&gt;0.5,"T","F") &amp; IF(Table1[[#This Row],[J-P]]&gt;0.5,"J","P")</f>
        <v>ISTP</v>
      </c>
      <c r="H94" s="93">
        <f>VALUE(LEFT(Table1[[#This Row],[Class]], FIND(".",Table1[[#This Row],[Class]])-1))</f>
        <v>8</v>
      </c>
      <c r="I94" s="93">
        <f>VALUE(RIGHT(Table1[[#This Row],[Class]],LEN(Table1[[#This Row],[Class]]) - FIND(".",Table1[[#This Row],[Class]])))</f>
        <v>1</v>
      </c>
    </row>
    <row r="95" spans="1:9" ht="21.6" x14ac:dyDescent="0.25">
      <c r="A95" s="10">
        <v>8107</v>
      </c>
      <c r="B95" s="91">
        <v>8.1</v>
      </c>
      <c r="C95" s="96">
        <v>0.8</v>
      </c>
      <c r="D95" s="96">
        <v>0.46666666666666667</v>
      </c>
      <c r="E95" s="96">
        <v>1</v>
      </c>
      <c r="F95" s="96">
        <v>0.53333333333333333</v>
      </c>
      <c r="G95" s="83" t="str">
        <f>IF(Table1[[#This Row],[I-E]]&gt;0.5,"I","E") &amp; IF(Table1[[#This Row],[S-N]]&gt;0.5,"S","N") &amp; IF(Table1[[#This Row],[T-F]]&gt;0.5,"T","F") &amp; IF(Table1[[#This Row],[J-P]]&gt;0.5,"J","P")</f>
        <v>INTJ</v>
      </c>
      <c r="H95" s="93">
        <f>VALUE(LEFT(Table1[[#This Row],[Class]], FIND(".",Table1[[#This Row],[Class]])-1))</f>
        <v>8</v>
      </c>
      <c r="I95" s="93">
        <f>VALUE(RIGHT(Table1[[#This Row],[Class]],LEN(Table1[[#This Row],[Class]]) - FIND(".",Table1[[#This Row],[Class]])))</f>
        <v>1</v>
      </c>
    </row>
    <row r="96" spans="1:9" ht="21.6" x14ac:dyDescent="0.25">
      <c r="A96" s="10">
        <v>8108</v>
      </c>
      <c r="B96" s="91">
        <v>8.1</v>
      </c>
      <c r="C96" s="96">
        <v>0.53333333333333333</v>
      </c>
      <c r="D96" s="96">
        <v>0.73333333333333328</v>
      </c>
      <c r="E96" s="96">
        <v>0.8</v>
      </c>
      <c r="F96" s="96">
        <v>0.46666666666666667</v>
      </c>
      <c r="G96" s="83" t="str">
        <f>IF(Table1[[#This Row],[I-E]]&gt;0.5,"I","E") &amp; IF(Table1[[#This Row],[S-N]]&gt;0.5,"S","N") &amp; IF(Table1[[#This Row],[T-F]]&gt;0.5,"T","F") &amp; IF(Table1[[#This Row],[J-P]]&gt;0.5,"J","P")</f>
        <v>ISTP</v>
      </c>
      <c r="H96" s="93">
        <f>VALUE(LEFT(Table1[[#This Row],[Class]], FIND(".",Table1[[#This Row],[Class]])-1))</f>
        <v>8</v>
      </c>
      <c r="I96" s="93">
        <f>VALUE(RIGHT(Table1[[#This Row],[Class]],LEN(Table1[[#This Row],[Class]]) - FIND(".",Table1[[#This Row],[Class]])))</f>
        <v>1</v>
      </c>
    </row>
    <row r="97" spans="1:9" ht="21.6" x14ac:dyDescent="0.25">
      <c r="A97" s="10">
        <v>8109</v>
      </c>
      <c r="B97" s="91">
        <v>8.1</v>
      </c>
      <c r="C97" s="96">
        <v>0.66666666666666663</v>
      </c>
      <c r="D97" s="96">
        <v>0.53333333333333333</v>
      </c>
      <c r="E97" s="96">
        <v>0.6</v>
      </c>
      <c r="F97" s="96">
        <v>0.46666666666666667</v>
      </c>
      <c r="G97" s="83" t="str">
        <f>IF(Table1[[#This Row],[I-E]]&gt;0.5,"I","E") &amp; IF(Table1[[#This Row],[S-N]]&gt;0.5,"S","N") &amp; IF(Table1[[#This Row],[T-F]]&gt;0.5,"T","F") &amp; IF(Table1[[#This Row],[J-P]]&gt;0.5,"J","P")</f>
        <v>ISTP</v>
      </c>
      <c r="H97" s="93">
        <f>VALUE(LEFT(Table1[[#This Row],[Class]], FIND(".",Table1[[#This Row],[Class]])-1))</f>
        <v>8</v>
      </c>
      <c r="I97" s="93">
        <f>VALUE(RIGHT(Table1[[#This Row],[Class]],LEN(Table1[[#This Row],[Class]]) - FIND(".",Table1[[#This Row],[Class]])))</f>
        <v>1</v>
      </c>
    </row>
    <row r="98" spans="1:9" ht="21.6" x14ac:dyDescent="0.25">
      <c r="A98" s="10">
        <v>8110</v>
      </c>
      <c r="B98" s="91">
        <v>8.1</v>
      </c>
      <c r="C98" s="96">
        <v>0.46666666666666667</v>
      </c>
      <c r="D98" s="96">
        <v>0.4</v>
      </c>
      <c r="E98" s="96">
        <v>0.8</v>
      </c>
      <c r="F98" s="96">
        <v>0.73333333333333328</v>
      </c>
      <c r="G98" s="83" t="str">
        <f>IF(Table1[[#This Row],[I-E]]&gt;0.5,"I","E") &amp; IF(Table1[[#This Row],[S-N]]&gt;0.5,"S","N") &amp; IF(Table1[[#This Row],[T-F]]&gt;0.5,"T","F") &amp; IF(Table1[[#This Row],[J-P]]&gt;0.5,"J","P")</f>
        <v>ENTJ</v>
      </c>
      <c r="H98" s="93">
        <f>VALUE(LEFT(Table1[[#This Row],[Class]], FIND(".",Table1[[#This Row],[Class]])-1))</f>
        <v>8</v>
      </c>
      <c r="I98" s="93">
        <f>VALUE(RIGHT(Table1[[#This Row],[Class]],LEN(Table1[[#This Row],[Class]]) - FIND(".",Table1[[#This Row],[Class]])))</f>
        <v>1</v>
      </c>
    </row>
    <row r="99" spans="1:9" ht="21.6" x14ac:dyDescent="0.25">
      <c r="A99" s="10">
        <v>8111</v>
      </c>
      <c r="B99" s="91">
        <v>8.1</v>
      </c>
      <c r="C99" s="96">
        <v>0.6</v>
      </c>
      <c r="D99" s="96">
        <v>0.66666666666666663</v>
      </c>
      <c r="E99" s="96">
        <v>0.93333333333333335</v>
      </c>
      <c r="F99" s="96">
        <v>0.4</v>
      </c>
      <c r="G99" s="83" t="str">
        <f>IF(Table1[[#This Row],[I-E]]&gt;0.5,"I","E") &amp; IF(Table1[[#This Row],[S-N]]&gt;0.5,"S","N") &amp; IF(Table1[[#This Row],[T-F]]&gt;0.5,"T","F") &amp; IF(Table1[[#This Row],[J-P]]&gt;0.5,"J","P")</f>
        <v>ISTP</v>
      </c>
      <c r="H99" s="93">
        <f>VALUE(LEFT(Table1[[#This Row],[Class]], FIND(".",Table1[[#This Row],[Class]])-1))</f>
        <v>8</v>
      </c>
      <c r="I99" s="93">
        <f>VALUE(RIGHT(Table1[[#This Row],[Class]],LEN(Table1[[#This Row],[Class]]) - FIND(".",Table1[[#This Row],[Class]])))</f>
        <v>1</v>
      </c>
    </row>
    <row r="100" spans="1:9" ht="21.6" x14ac:dyDescent="0.25">
      <c r="A100" s="10">
        <v>8112</v>
      </c>
      <c r="B100" s="91">
        <v>8.1</v>
      </c>
      <c r="C100" s="96">
        <v>0.73333333333333328</v>
      </c>
      <c r="D100" s="96">
        <v>0.6</v>
      </c>
      <c r="E100" s="96">
        <v>0.73333333333333328</v>
      </c>
      <c r="F100" s="96">
        <v>0.53333333333333333</v>
      </c>
      <c r="G100" s="83" t="str">
        <f>IF(Table1[[#This Row],[I-E]]&gt;0.5,"I","E") &amp; IF(Table1[[#This Row],[S-N]]&gt;0.5,"S","N") &amp; IF(Table1[[#This Row],[T-F]]&gt;0.5,"T","F") &amp; IF(Table1[[#This Row],[J-P]]&gt;0.5,"J","P")</f>
        <v>ISTJ</v>
      </c>
      <c r="H100" s="93">
        <f>VALUE(LEFT(Table1[[#This Row],[Class]], FIND(".",Table1[[#This Row],[Class]])-1))</f>
        <v>8</v>
      </c>
      <c r="I100" s="93">
        <f>VALUE(RIGHT(Table1[[#This Row],[Class]],LEN(Table1[[#This Row],[Class]]) - FIND(".",Table1[[#This Row],[Class]])))</f>
        <v>1</v>
      </c>
    </row>
    <row r="101" spans="1:9" ht="21.6" x14ac:dyDescent="0.25">
      <c r="A101" s="10">
        <v>8113</v>
      </c>
      <c r="B101" s="91">
        <v>8.1</v>
      </c>
      <c r="C101" s="96">
        <v>0.66666666666666663</v>
      </c>
      <c r="D101" s="96">
        <v>0.33333333333333326</v>
      </c>
      <c r="E101" s="96">
        <v>0.73333333333333328</v>
      </c>
      <c r="F101" s="96">
        <v>0.73333333333333328</v>
      </c>
      <c r="G101" s="83" t="str">
        <f>IF(Table1[[#This Row],[I-E]]&gt;0.5,"I","E") &amp; IF(Table1[[#This Row],[S-N]]&gt;0.5,"S","N") &amp; IF(Table1[[#This Row],[T-F]]&gt;0.5,"T","F") &amp; IF(Table1[[#This Row],[J-P]]&gt;0.5,"J","P")</f>
        <v>INTJ</v>
      </c>
      <c r="H101" s="93">
        <f>VALUE(LEFT(Table1[[#This Row],[Class]], FIND(".",Table1[[#This Row],[Class]])-1))</f>
        <v>8</v>
      </c>
      <c r="I101" s="93">
        <f>VALUE(RIGHT(Table1[[#This Row],[Class]],LEN(Table1[[#This Row],[Class]]) - FIND(".",Table1[[#This Row],[Class]])))</f>
        <v>1</v>
      </c>
    </row>
    <row r="102" spans="1:9" ht="21.6" x14ac:dyDescent="0.25">
      <c r="A102" s="10">
        <v>8114</v>
      </c>
      <c r="B102" s="91">
        <v>8.1</v>
      </c>
      <c r="C102" s="96">
        <v>0.46666666666666667</v>
      </c>
      <c r="D102" s="96">
        <v>0.46666666666666667</v>
      </c>
      <c r="E102" s="96">
        <v>0.8</v>
      </c>
      <c r="F102" s="96">
        <v>0.53333333333333333</v>
      </c>
      <c r="G102" s="83" t="str">
        <f>IF(Table1[[#This Row],[I-E]]&gt;0.5,"I","E") &amp; IF(Table1[[#This Row],[S-N]]&gt;0.5,"S","N") &amp; IF(Table1[[#This Row],[T-F]]&gt;0.5,"T","F") &amp; IF(Table1[[#This Row],[J-P]]&gt;0.5,"J","P")</f>
        <v>ENTJ</v>
      </c>
      <c r="H102" s="93">
        <f>VALUE(LEFT(Table1[[#This Row],[Class]], FIND(".",Table1[[#This Row],[Class]])-1))</f>
        <v>8</v>
      </c>
      <c r="I102" s="93">
        <f>VALUE(RIGHT(Table1[[#This Row],[Class]],LEN(Table1[[#This Row],[Class]]) - FIND(".",Table1[[#This Row],[Class]])))</f>
        <v>1</v>
      </c>
    </row>
    <row r="103" spans="1:9" ht="21.6" x14ac:dyDescent="0.25">
      <c r="A103" s="10">
        <v>8115</v>
      </c>
      <c r="B103" s="91">
        <v>8.1</v>
      </c>
      <c r="C103" s="96">
        <v>0.8666666666666667</v>
      </c>
      <c r="D103" s="96">
        <v>0.33333333333333326</v>
      </c>
      <c r="E103" s="96">
        <v>0.46666666666666667</v>
      </c>
      <c r="F103" s="96">
        <v>0.46666666666666667</v>
      </c>
      <c r="G103" s="83" t="str">
        <f>IF(Table1[[#This Row],[I-E]]&gt;0.5,"I","E") &amp; IF(Table1[[#This Row],[S-N]]&gt;0.5,"S","N") &amp; IF(Table1[[#This Row],[T-F]]&gt;0.5,"T","F") &amp; IF(Table1[[#This Row],[J-P]]&gt;0.5,"J","P")</f>
        <v>INFP</v>
      </c>
      <c r="H103" s="93">
        <f>VALUE(LEFT(Table1[[#This Row],[Class]], FIND(".",Table1[[#This Row],[Class]])-1))</f>
        <v>8</v>
      </c>
      <c r="I103" s="93">
        <f>VALUE(RIGHT(Table1[[#This Row],[Class]],LEN(Table1[[#This Row],[Class]]) - FIND(".",Table1[[#This Row],[Class]])))</f>
        <v>1</v>
      </c>
    </row>
    <row r="104" spans="1:9" ht="21.6" x14ac:dyDescent="0.25">
      <c r="A104" s="10">
        <v>8116</v>
      </c>
      <c r="B104" s="91">
        <v>8.1</v>
      </c>
      <c r="C104" s="96">
        <v>0.53333333333333333</v>
      </c>
      <c r="D104" s="96">
        <v>0.46666666666666667</v>
      </c>
      <c r="E104" s="96">
        <v>0.8</v>
      </c>
      <c r="F104" s="96">
        <v>0.6</v>
      </c>
      <c r="G104" s="83" t="str">
        <f>IF(Table1[[#This Row],[I-E]]&gt;0.5,"I","E") &amp; IF(Table1[[#This Row],[S-N]]&gt;0.5,"S","N") &amp; IF(Table1[[#This Row],[T-F]]&gt;0.5,"T","F") &amp; IF(Table1[[#This Row],[J-P]]&gt;0.5,"J","P")</f>
        <v>INTJ</v>
      </c>
      <c r="H104" s="93">
        <f>VALUE(LEFT(Table1[[#This Row],[Class]], FIND(".",Table1[[#This Row],[Class]])-1))</f>
        <v>8</v>
      </c>
      <c r="I104" s="93">
        <f>VALUE(RIGHT(Table1[[#This Row],[Class]],LEN(Table1[[#This Row],[Class]]) - FIND(".",Table1[[#This Row],[Class]])))</f>
        <v>1</v>
      </c>
    </row>
    <row r="105" spans="1:9" ht="21.6" x14ac:dyDescent="0.25">
      <c r="A105" s="10">
        <v>8117</v>
      </c>
      <c r="B105" s="91">
        <v>8.1</v>
      </c>
      <c r="C105" s="96">
        <v>0.8</v>
      </c>
      <c r="D105" s="96">
        <v>0.33333333333333326</v>
      </c>
      <c r="E105" s="96">
        <v>0.93333333333333335</v>
      </c>
      <c r="F105" s="96">
        <v>0.26666666666666661</v>
      </c>
      <c r="G105" s="83" t="str">
        <f>IF(Table1[[#This Row],[I-E]]&gt;0.5,"I","E") &amp; IF(Table1[[#This Row],[S-N]]&gt;0.5,"S","N") &amp; IF(Table1[[#This Row],[T-F]]&gt;0.5,"T","F") &amp; IF(Table1[[#This Row],[J-P]]&gt;0.5,"J","P")</f>
        <v>INTP</v>
      </c>
      <c r="H105" s="93">
        <f>VALUE(LEFT(Table1[[#This Row],[Class]], FIND(".",Table1[[#This Row],[Class]])-1))</f>
        <v>8</v>
      </c>
      <c r="I105" s="93">
        <f>VALUE(RIGHT(Table1[[#This Row],[Class]],LEN(Table1[[#This Row],[Class]]) - FIND(".",Table1[[#This Row],[Class]])))</f>
        <v>1</v>
      </c>
    </row>
    <row r="106" spans="1:9" ht="21.6" x14ac:dyDescent="0.25">
      <c r="A106" s="10">
        <v>8118</v>
      </c>
      <c r="B106" s="91">
        <v>8.1</v>
      </c>
      <c r="C106" s="96">
        <v>0.66666666666666663</v>
      </c>
      <c r="D106" s="96">
        <v>0.6</v>
      </c>
      <c r="E106" s="96">
        <v>0.93333333333333335</v>
      </c>
      <c r="F106" s="96">
        <v>0.66666666666666663</v>
      </c>
      <c r="G106" s="83" t="str">
        <f>IF(Table1[[#This Row],[I-E]]&gt;0.5,"I","E") &amp; IF(Table1[[#This Row],[S-N]]&gt;0.5,"S","N") &amp; IF(Table1[[#This Row],[T-F]]&gt;0.5,"T","F") &amp; IF(Table1[[#This Row],[J-P]]&gt;0.5,"J","P")</f>
        <v>ISTJ</v>
      </c>
      <c r="H106" s="93">
        <f>VALUE(LEFT(Table1[[#This Row],[Class]], FIND(".",Table1[[#This Row],[Class]])-1))</f>
        <v>8</v>
      </c>
      <c r="I106" s="93">
        <f>VALUE(RIGHT(Table1[[#This Row],[Class]],LEN(Table1[[#This Row],[Class]]) - FIND(".",Table1[[#This Row],[Class]])))</f>
        <v>1</v>
      </c>
    </row>
    <row r="107" spans="1:9" ht="21.6" x14ac:dyDescent="0.25">
      <c r="A107" s="10">
        <v>8119</v>
      </c>
      <c r="B107" s="91">
        <v>8.1</v>
      </c>
      <c r="C107" s="96">
        <v>0.73333333333333328</v>
      </c>
      <c r="D107" s="96">
        <v>0.4</v>
      </c>
      <c r="E107" s="96">
        <v>0.66666666666666663</v>
      </c>
      <c r="F107" s="96">
        <v>0.46666666666666667</v>
      </c>
      <c r="G107" s="83" t="str">
        <f>IF(Table1[[#This Row],[I-E]]&gt;0.5,"I","E") &amp; IF(Table1[[#This Row],[S-N]]&gt;0.5,"S","N") &amp; IF(Table1[[#This Row],[T-F]]&gt;0.5,"T","F") &amp; IF(Table1[[#This Row],[J-P]]&gt;0.5,"J","P")</f>
        <v>INTP</v>
      </c>
      <c r="H107" s="93">
        <f>VALUE(LEFT(Table1[[#This Row],[Class]], FIND(".",Table1[[#This Row],[Class]])-1))</f>
        <v>8</v>
      </c>
      <c r="I107" s="93">
        <f>VALUE(RIGHT(Table1[[#This Row],[Class]],LEN(Table1[[#This Row],[Class]]) - FIND(".",Table1[[#This Row],[Class]])))</f>
        <v>1</v>
      </c>
    </row>
    <row r="108" spans="1:9" ht="21.6" x14ac:dyDescent="0.25">
      <c r="A108" s="10">
        <v>8120</v>
      </c>
      <c r="B108" s="91">
        <v>8.1</v>
      </c>
      <c r="C108" s="96">
        <v>0.8666666666666667</v>
      </c>
      <c r="D108" s="96">
        <v>0.4</v>
      </c>
      <c r="E108" s="96">
        <v>1</v>
      </c>
      <c r="F108" s="96">
        <v>0.46666666666666667</v>
      </c>
      <c r="G108" s="83" t="str">
        <f>IF(Table1[[#This Row],[I-E]]&gt;0.5,"I","E") &amp; IF(Table1[[#This Row],[S-N]]&gt;0.5,"S","N") &amp; IF(Table1[[#This Row],[T-F]]&gt;0.5,"T","F") &amp; IF(Table1[[#This Row],[J-P]]&gt;0.5,"J","P")</f>
        <v>INTP</v>
      </c>
      <c r="H108" s="93">
        <f>VALUE(LEFT(Table1[[#This Row],[Class]], FIND(".",Table1[[#This Row],[Class]])-1))</f>
        <v>8</v>
      </c>
      <c r="I108" s="93">
        <f>VALUE(RIGHT(Table1[[#This Row],[Class]],LEN(Table1[[#This Row],[Class]]) - FIND(".",Table1[[#This Row],[Class]])))</f>
        <v>1</v>
      </c>
    </row>
    <row r="109" spans="1:9" ht="21.6" x14ac:dyDescent="0.25">
      <c r="A109" s="10">
        <v>8121</v>
      </c>
      <c r="B109" s="91">
        <v>8.1</v>
      </c>
      <c r="C109" s="96">
        <v>0.66666666666666663</v>
      </c>
      <c r="D109" s="96">
        <v>0.46666666666666667</v>
      </c>
      <c r="E109" s="96">
        <v>0.73333333333333328</v>
      </c>
      <c r="F109" s="96">
        <v>0.4</v>
      </c>
      <c r="G109" s="83" t="str">
        <f>IF(Table1[[#This Row],[I-E]]&gt;0.5,"I","E") &amp; IF(Table1[[#This Row],[S-N]]&gt;0.5,"S","N") &amp; IF(Table1[[#This Row],[T-F]]&gt;0.5,"T","F") &amp; IF(Table1[[#This Row],[J-P]]&gt;0.5,"J","P")</f>
        <v>INTP</v>
      </c>
      <c r="H109" s="93">
        <f>VALUE(LEFT(Table1[[#This Row],[Class]], FIND(".",Table1[[#This Row],[Class]])-1))</f>
        <v>8</v>
      </c>
      <c r="I109" s="93">
        <f>VALUE(RIGHT(Table1[[#This Row],[Class]],LEN(Table1[[#This Row],[Class]]) - FIND(".",Table1[[#This Row],[Class]])))</f>
        <v>1</v>
      </c>
    </row>
    <row r="110" spans="1:9" ht="21.6" x14ac:dyDescent="0.25">
      <c r="A110" s="10">
        <v>8122</v>
      </c>
      <c r="B110" s="91">
        <v>8.1</v>
      </c>
      <c r="C110" s="96">
        <v>0.8666666666666667</v>
      </c>
      <c r="D110" s="96">
        <v>0.4</v>
      </c>
      <c r="E110" s="96">
        <v>0.8666666666666667</v>
      </c>
      <c r="F110" s="96">
        <v>0.33333333333333326</v>
      </c>
      <c r="G110" s="83" t="str">
        <f>IF(Table1[[#This Row],[I-E]]&gt;0.5,"I","E") &amp; IF(Table1[[#This Row],[S-N]]&gt;0.5,"S","N") &amp; IF(Table1[[#This Row],[T-F]]&gt;0.5,"T","F") &amp; IF(Table1[[#This Row],[J-P]]&gt;0.5,"J","P")</f>
        <v>INTP</v>
      </c>
      <c r="H110" s="93">
        <f>VALUE(LEFT(Table1[[#This Row],[Class]], FIND(".",Table1[[#This Row],[Class]])-1))</f>
        <v>8</v>
      </c>
      <c r="I110" s="93">
        <f>VALUE(RIGHT(Table1[[#This Row],[Class]],LEN(Table1[[#This Row],[Class]]) - FIND(".",Table1[[#This Row],[Class]])))</f>
        <v>1</v>
      </c>
    </row>
    <row r="111" spans="1:9" ht="21.6" x14ac:dyDescent="0.25">
      <c r="A111" s="10">
        <v>8123</v>
      </c>
      <c r="B111" s="91">
        <v>8.1</v>
      </c>
      <c r="C111" s="96">
        <v>0.6</v>
      </c>
      <c r="D111" s="96">
        <v>0.73333333333333328</v>
      </c>
      <c r="E111" s="96">
        <v>0.93333333333333335</v>
      </c>
      <c r="F111" s="96">
        <v>0.73333333333333328</v>
      </c>
      <c r="G111" s="83" t="str">
        <f>IF(Table1[[#This Row],[I-E]]&gt;0.5,"I","E") &amp; IF(Table1[[#This Row],[S-N]]&gt;0.5,"S","N") &amp; IF(Table1[[#This Row],[T-F]]&gt;0.5,"T","F") &amp; IF(Table1[[#This Row],[J-P]]&gt;0.5,"J","P")</f>
        <v>ISTJ</v>
      </c>
      <c r="H111" s="93">
        <f>VALUE(LEFT(Table1[[#This Row],[Class]], FIND(".",Table1[[#This Row],[Class]])-1))</f>
        <v>8</v>
      </c>
      <c r="I111" s="93">
        <f>VALUE(RIGHT(Table1[[#This Row],[Class]],LEN(Table1[[#This Row],[Class]]) - FIND(".",Table1[[#This Row],[Class]])))</f>
        <v>1</v>
      </c>
    </row>
    <row r="112" spans="1:9" ht="21.6" x14ac:dyDescent="0.25">
      <c r="A112" s="10">
        <v>8124</v>
      </c>
      <c r="B112" s="91">
        <v>8.1</v>
      </c>
      <c r="C112" s="96">
        <v>0.66666666666666663</v>
      </c>
      <c r="D112" s="96">
        <v>0.4</v>
      </c>
      <c r="E112" s="96">
        <v>0.8</v>
      </c>
      <c r="F112" s="96">
        <v>0.4</v>
      </c>
      <c r="G112" s="83" t="str">
        <f>IF(Table1[[#This Row],[I-E]]&gt;0.5,"I","E") &amp; IF(Table1[[#This Row],[S-N]]&gt;0.5,"S","N") &amp; IF(Table1[[#This Row],[T-F]]&gt;0.5,"T","F") &amp; IF(Table1[[#This Row],[J-P]]&gt;0.5,"J","P")</f>
        <v>INTP</v>
      </c>
      <c r="H112" s="93">
        <f>VALUE(LEFT(Table1[[#This Row],[Class]], FIND(".",Table1[[#This Row],[Class]])-1))</f>
        <v>8</v>
      </c>
      <c r="I112" s="93">
        <f>VALUE(RIGHT(Table1[[#This Row],[Class]],LEN(Table1[[#This Row],[Class]]) - FIND(".",Table1[[#This Row],[Class]])))</f>
        <v>1</v>
      </c>
    </row>
    <row r="113" spans="1:9" ht="21.6" x14ac:dyDescent="0.25">
      <c r="A113" s="10">
        <v>8125</v>
      </c>
      <c r="B113" s="91">
        <v>8.1</v>
      </c>
      <c r="C113" s="96">
        <v>0.53333333333333333</v>
      </c>
      <c r="D113" s="96">
        <v>0.73333333333333328</v>
      </c>
      <c r="E113" s="96">
        <v>0.73333333333333328</v>
      </c>
      <c r="F113" s="96">
        <v>0.53333333333333333</v>
      </c>
      <c r="G113" s="83" t="str">
        <f>IF(Table1[[#This Row],[I-E]]&gt;0.5,"I","E") &amp; IF(Table1[[#This Row],[S-N]]&gt;0.5,"S","N") &amp; IF(Table1[[#This Row],[T-F]]&gt;0.5,"T","F") &amp; IF(Table1[[#This Row],[J-P]]&gt;0.5,"J","P")</f>
        <v>ISTJ</v>
      </c>
      <c r="H113" s="93">
        <f>VALUE(LEFT(Table1[[#This Row],[Class]], FIND(".",Table1[[#This Row],[Class]])-1))</f>
        <v>8</v>
      </c>
      <c r="I113" s="93">
        <f>VALUE(RIGHT(Table1[[#This Row],[Class]],LEN(Table1[[#This Row],[Class]]) - FIND(".",Table1[[#This Row],[Class]])))</f>
        <v>1</v>
      </c>
    </row>
    <row r="114" spans="1:9" ht="21.6" x14ac:dyDescent="0.25">
      <c r="A114" s="10">
        <v>8126</v>
      </c>
      <c r="B114" s="91">
        <v>8.1</v>
      </c>
      <c r="C114" s="96">
        <v>0.66666666666666663</v>
      </c>
      <c r="D114" s="96">
        <v>0.6</v>
      </c>
      <c r="E114" s="96">
        <v>0.93333333333333335</v>
      </c>
      <c r="F114" s="96">
        <v>0.26666666666666661</v>
      </c>
      <c r="G114" s="83" t="str">
        <f>IF(Table1[[#This Row],[I-E]]&gt;0.5,"I","E") &amp; IF(Table1[[#This Row],[S-N]]&gt;0.5,"S","N") &amp; IF(Table1[[#This Row],[T-F]]&gt;0.5,"T","F") &amp; IF(Table1[[#This Row],[J-P]]&gt;0.5,"J","P")</f>
        <v>ISTP</v>
      </c>
      <c r="H114" s="93">
        <f>VALUE(LEFT(Table1[[#This Row],[Class]], FIND(".",Table1[[#This Row],[Class]])-1))</f>
        <v>8</v>
      </c>
      <c r="I114" s="93">
        <f>VALUE(RIGHT(Table1[[#This Row],[Class]],LEN(Table1[[#This Row],[Class]]) - FIND(".",Table1[[#This Row],[Class]])))</f>
        <v>1</v>
      </c>
    </row>
    <row r="115" spans="1:9" ht="21.6" x14ac:dyDescent="0.25">
      <c r="A115" s="10">
        <v>8127</v>
      </c>
      <c r="B115" s="91">
        <v>8.1</v>
      </c>
      <c r="C115" s="96">
        <v>0.6</v>
      </c>
      <c r="D115" s="96">
        <v>0.73333333333333328</v>
      </c>
      <c r="E115" s="96">
        <v>0.4</v>
      </c>
      <c r="F115" s="96">
        <v>0.73333333333333328</v>
      </c>
      <c r="G115" s="83" t="str">
        <f>IF(Table1[[#This Row],[I-E]]&gt;0.5,"I","E") &amp; IF(Table1[[#This Row],[S-N]]&gt;0.5,"S","N") &amp; IF(Table1[[#This Row],[T-F]]&gt;0.5,"T","F") &amp; IF(Table1[[#This Row],[J-P]]&gt;0.5,"J","P")</f>
        <v>ISFJ</v>
      </c>
      <c r="H115" s="93">
        <f>VALUE(LEFT(Table1[[#This Row],[Class]], FIND(".",Table1[[#This Row],[Class]])-1))</f>
        <v>8</v>
      </c>
      <c r="I115" s="93">
        <f>VALUE(RIGHT(Table1[[#This Row],[Class]],LEN(Table1[[#This Row],[Class]]) - FIND(".",Table1[[#This Row],[Class]])))</f>
        <v>1</v>
      </c>
    </row>
    <row r="116" spans="1:9" ht="21.6" x14ac:dyDescent="0.25">
      <c r="A116" s="10">
        <v>8128</v>
      </c>
      <c r="B116" s="91">
        <v>8.1</v>
      </c>
      <c r="C116" s="96">
        <v>0.26666666666666661</v>
      </c>
      <c r="D116" s="96">
        <v>0.4</v>
      </c>
      <c r="E116" s="96">
        <v>1</v>
      </c>
      <c r="F116" s="96">
        <v>0.8</v>
      </c>
      <c r="G116" s="83" t="str">
        <f>IF(Table1[[#This Row],[I-E]]&gt;0.5,"I","E") &amp; IF(Table1[[#This Row],[S-N]]&gt;0.5,"S","N") &amp; IF(Table1[[#This Row],[T-F]]&gt;0.5,"T","F") &amp; IF(Table1[[#This Row],[J-P]]&gt;0.5,"J","P")</f>
        <v>ENTJ</v>
      </c>
      <c r="H116" s="93">
        <f>VALUE(LEFT(Table1[[#This Row],[Class]], FIND(".",Table1[[#This Row],[Class]])-1))</f>
        <v>8</v>
      </c>
      <c r="I116" s="93">
        <f>VALUE(RIGHT(Table1[[#This Row],[Class]],LEN(Table1[[#This Row],[Class]]) - FIND(".",Table1[[#This Row],[Class]])))</f>
        <v>1</v>
      </c>
    </row>
    <row r="117" spans="1:9" ht="21.6" x14ac:dyDescent="0.25">
      <c r="A117" s="10">
        <v>8129</v>
      </c>
      <c r="B117" s="91">
        <v>8.1</v>
      </c>
      <c r="C117" s="96">
        <v>0.8</v>
      </c>
      <c r="D117" s="96">
        <v>0.8</v>
      </c>
      <c r="E117" s="96">
        <v>0.73333333333333328</v>
      </c>
      <c r="F117" s="96">
        <v>0.6</v>
      </c>
      <c r="G117" s="83" t="str">
        <f>IF(Table1[[#This Row],[I-E]]&gt;0.5,"I","E") &amp; IF(Table1[[#This Row],[S-N]]&gt;0.5,"S","N") &amp; IF(Table1[[#This Row],[T-F]]&gt;0.5,"T","F") &amp; IF(Table1[[#This Row],[J-P]]&gt;0.5,"J","P")</f>
        <v>ISTJ</v>
      </c>
      <c r="H117" s="93">
        <f>VALUE(LEFT(Table1[[#This Row],[Class]], FIND(".",Table1[[#This Row],[Class]])-1))</f>
        <v>8</v>
      </c>
      <c r="I117" s="93">
        <f>VALUE(RIGHT(Table1[[#This Row],[Class]],LEN(Table1[[#This Row],[Class]]) - FIND(".",Table1[[#This Row],[Class]])))</f>
        <v>1</v>
      </c>
    </row>
    <row r="118" spans="1:9" ht="21.6" x14ac:dyDescent="0.25">
      <c r="A118" s="10">
        <v>8130</v>
      </c>
      <c r="B118" s="91">
        <v>8.1</v>
      </c>
      <c r="C118" s="96">
        <v>0.4</v>
      </c>
      <c r="D118" s="96">
        <v>0.6</v>
      </c>
      <c r="E118" s="96">
        <v>0.66666666666666663</v>
      </c>
      <c r="F118" s="96">
        <v>0.73333333333333328</v>
      </c>
      <c r="G118" s="83" t="str">
        <f>IF(Table1[[#This Row],[I-E]]&gt;0.5,"I","E") &amp; IF(Table1[[#This Row],[S-N]]&gt;0.5,"S","N") &amp; IF(Table1[[#This Row],[T-F]]&gt;0.5,"T","F") &amp; IF(Table1[[#This Row],[J-P]]&gt;0.5,"J","P")</f>
        <v>ESTJ</v>
      </c>
      <c r="H118" s="93">
        <f>VALUE(LEFT(Table1[[#This Row],[Class]], FIND(".",Table1[[#This Row],[Class]])-1))</f>
        <v>8</v>
      </c>
      <c r="I118" s="93">
        <f>VALUE(RIGHT(Table1[[#This Row],[Class]],LEN(Table1[[#This Row],[Class]]) - FIND(".",Table1[[#This Row],[Class]])))</f>
        <v>1</v>
      </c>
    </row>
    <row r="119" spans="1:9" ht="21.6" x14ac:dyDescent="0.25">
      <c r="A119" s="10">
        <v>8131</v>
      </c>
      <c r="B119" s="91">
        <v>8.1</v>
      </c>
      <c r="C119" s="96">
        <v>0.46666666666666667</v>
      </c>
      <c r="D119" s="96">
        <v>0.46666666666666667</v>
      </c>
      <c r="E119" s="96">
        <v>0.6</v>
      </c>
      <c r="F119" s="96">
        <v>0.46666666666666667</v>
      </c>
      <c r="G119" s="83" t="str">
        <f>IF(Table1[[#This Row],[I-E]]&gt;0.5,"I","E") &amp; IF(Table1[[#This Row],[S-N]]&gt;0.5,"S","N") &amp; IF(Table1[[#This Row],[T-F]]&gt;0.5,"T","F") &amp; IF(Table1[[#This Row],[J-P]]&gt;0.5,"J","P")</f>
        <v>ENTP</v>
      </c>
      <c r="H119" s="93">
        <f>VALUE(LEFT(Table1[[#This Row],[Class]], FIND(".",Table1[[#This Row],[Class]])-1))</f>
        <v>8</v>
      </c>
      <c r="I119" s="93">
        <f>VALUE(RIGHT(Table1[[#This Row],[Class]],LEN(Table1[[#This Row],[Class]]) - FIND(".",Table1[[#This Row],[Class]])))</f>
        <v>1</v>
      </c>
    </row>
    <row r="120" spans="1:9" ht="21.6" x14ac:dyDescent="0.25">
      <c r="A120" s="10">
        <v>8132</v>
      </c>
      <c r="B120" s="91">
        <v>8.1</v>
      </c>
      <c r="C120" s="96">
        <v>0.6</v>
      </c>
      <c r="D120" s="96">
        <v>0.46666666666666667</v>
      </c>
      <c r="E120" s="96">
        <v>0.8666666666666667</v>
      </c>
      <c r="F120" s="96">
        <v>0.46666666666666667</v>
      </c>
      <c r="G120" s="83" t="str">
        <f>IF(Table1[[#This Row],[I-E]]&gt;0.5,"I","E") &amp; IF(Table1[[#This Row],[S-N]]&gt;0.5,"S","N") &amp; IF(Table1[[#This Row],[T-F]]&gt;0.5,"T","F") &amp; IF(Table1[[#This Row],[J-P]]&gt;0.5,"J","P")</f>
        <v>INTP</v>
      </c>
      <c r="H120" s="93">
        <f>VALUE(LEFT(Table1[[#This Row],[Class]], FIND(".",Table1[[#This Row],[Class]])-1))</f>
        <v>8</v>
      </c>
      <c r="I120" s="93">
        <f>VALUE(RIGHT(Table1[[#This Row],[Class]],LEN(Table1[[#This Row],[Class]]) - FIND(".",Table1[[#This Row],[Class]])))</f>
        <v>1</v>
      </c>
    </row>
    <row r="121" spans="1:9" ht="21.6" x14ac:dyDescent="0.25">
      <c r="A121" s="10">
        <v>8133</v>
      </c>
      <c r="B121" s="91">
        <v>8.1</v>
      </c>
      <c r="C121" s="96">
        <v>0.6</v>
      </c>
      <c r="D121" s="96">
        <v>0.26666666666666661</v>
      </c>
      <c r="E121" s="96">
        <v>0.66666666666666663</v>
      </c>
      <c r="F121" s="96">
        <v>0.4</v>
      </c>
      <c r="G121" s="83" t="str">
        <f>IF(Table1[[#This Row],[I-E]]&gt;0.5,"I","E") &amp; IF(Table1[[#This Row],[S-N]]&gt;0.5,"S","N") &amp; IF(Table1[[#This Row],[T-F]]&gt;0.5,"T","F") &amp; IF(Table1[[#This Row],[J-P]]&gt;0.5,"J","P")</f>
        <v>INTP</v>
      </c>
      <c r="H121" s="93">
        <f>VALUE(LEFT(Table1[[#This Row],[Class]], FIND(".",Table1[[#This Row],[Class]])-1))</f>
        <v>8</v>
      </c>
      <c r="I121" s="93">
        <f>VALUE(RIGHT(Table1[[#This Row],[Class]],LEN(Table1[[#This Row],[Class]]) - FIND(".",Table1[[#This Row],[Class]])))</f>
        <v>1</v>
      </c>
    </row>
    <row r="122" spans="1:9" ht="21.6" x14ac:dyDescent="0.25">
      <c r="A122" s="10">
        <v>8134</v>
      </c>
      <c r="B122" s="91">
        <v>8.1</v>
      </c>
      <c r="C122" s="96">
        <v>0.8</v>
      </c>
      <c r="D122" s="96">
        <v>0.6</v>
      </c>
      <c r="E122" s="96">
        <v>0.66666666666666663</v>
      </c>
      <c r="F122" s="96">
        <v>0.6</v>
      </c>
      <c r="G122" s="83" t="str">
        <f>IF(Table1[[#This Row],[I-E]]&gt;0.5,"I","E") &amp; IF(Table1[[#This Row],[S-N]]&gt;0.5,"S","N") &amp; IF(Table1[[#This Row],[T-F]]&gt;0.5,"T","F") &amp; IF(Table1[[#This Row],[J-P]]&gt;0.5,"J","P")</f>
        <v>ISTJ</v>
      </c>
      <c r="H122" s="93">
        <f>VALUE(LEFT(Table1[[#This Row],[Class]], FIND(".",Table1[[#This Row],[Class]])-1))</f>
        <v>8</v>
      </c>
      <c r="I122" s="93">
        <f>VALUE(RIGHT(Table1[[#This Row],[Class]],LEN(Table1[[#This Row],[Class]]) - FIND(".",Table1[[#This Row],[Class]])))</f>
        <v>1</v>
      </c>
    </row>
    <row r="123" spans="1:9" ht="21.6" x14ac:dyDescent="0.25">
      <c r="A123" s="10">
        <v>8201</v>
      </c>
      <c r="B123" s="91">
        <v>8.1999999999999993</v>
      </c>
      <c r="C123" s="96">
        <v>0.53333333333333333</v>
      </c>
      <c r="D123" s="96">
        <v>0.33333333333333326</v>
      </c>
      <c r="E123" s="96">
        <v>0.6</v>
      </c>
      <c r="F123" s="96">
        <v>0.73333333333333328</v>
      </c>
      <c r="G123" s="83" t="str">
        <f>IF(Table1[[#This Row],[I-E]]&gt;0.5,"I","E") &amp; IF(Table1[[#This Row],[S-N]]&gt;0.5,"S","N") &amp; IF(Table1[[#This Row],[T-F]]&gt;0.5,"T","F") &amp; IF(Table1[[#This Row],[J-P]]&gt;0.5,"J","P")</f>
        <v>INTJ</v>
      </c>
      <c r="H123" s="93">
        <f>VALUE(LEFT(Table1[[#This Row],[Class]], FIND(".",Table1[[#This Row],[Class]])-1))</f>
        <v>8</v>
      </c>
      <c r="I123" s="93">
        <f>VALUE(RIGHT(Table1[[#This Row],[Class]],LEN(Table1[[#This Row],[Class]]) - FIND(".",Table1[[#This Row],[Class]])))</f>
        <v>2</v>
      </c>
    </row>
    <row r="124" spans="1:9" ht="21.6" x14ac:dyDescent="0.25">
      <c r="A124" s="10">
        <v>8202</v>
      </c>
      <c r="B124" s="91">
        <v>8.1999999999999993</v>
      </c>
      <c r="C124" s="96">
        <v>0.46666666666666667</v>
      </c>
      <c r="D124" s="96">
        <v>0.6</v>
      </c>
      <c r="E124" s="96">
        <v>0.8666666666666667</v>
      </c>
      <c r="F124" s="96">
        <v>0.66666666666666663</v>
      </c>
      <c r="G124" s="83" t="str">
        <f>IF(Table1[[#This Row],[I-E]]&gt;0.5,"I","E") &amp; IF(Table1[[#This Row],[S-N]]&gt;0.5,"S","N") &amp; IF(Table1[[#This Row],[T-F]]&gt;0.5,"T","F") &amp; IF(Table1[[#This Row],[J-P]]&gt;0.5,"J","P")</f>
        <v>ESTJ</v>
      </c>
      <c r="H124" s="93">
        <f>VALUE(LEFT(Table1[[#This Row],[Class]], FIND(".",Table1[[#This Row],[Class]])-1))</f>
        <v>8</v>
      </c>
      <c r="I124" s="93">
        <f>VALUE(RIGHT(Table1[[#This Row],[Class]],LEN(Table1[[#This Row],[Class]]) - FIND(".",Table1[[#This Row],[Class]])))</f>
        <v>2</v>
      </c>
    </row>
    <row r="125" spans="1:9" ht="21.6" x14ac:dyDescent="0.25">
      <c r="A125" s="10">
        <v>8203</v>
      </c>
      <c r="B125" s="91">
        <v>8.1999999999999993</v>
      </c>
      <c r="C125" s="96">
        <v>0.8666666666666667</v>
      </c>
      <c r="D125" s="96">
        <v>0.4</v>
      </c>
      <c r="E125" s="96">
        <v>0.93333333333333335</v>
      </c>
      <c r="F125" s="96">
        <v>0.33333333333333326</v>
      </c>
      <c r="G125" s="83" t="str">
        <f>IF(Table1[[#This Row],[I-E]]&gt;0.5,"I","E") &amp; IF(Table1[[#This Row],[S-N]]&gt;0.5,"S","N") &amp; IF(Table1[[#This Row],[T-F]]&gt;0.5,"T","F") &amp; IF(Table1[[#This Row],[J-P]]&gt;0.5,"J","P")</f>
        <v>INTP</v>
      </c>
      <c r="H125" s="93">
        <f>VALUE(LEFT(Table1[[#This Row],[Class]], FIND(".",Table1[[#This Row],[Class]])-1))</f>
        <v>8</v>
      </c>
      <c r="I125" s="93">
        <f>VALUE(RIGHT(Table1[[#This Row],[Class]],LEN(Table1[[#This Row],[Class]]) - FIND(".",Table1[[#This Row],[Class]])))</f>
        <v>2</v>
      </c>
    </row>
    <row r="126" spans="1:9" ht="21.6" x14ac:dyDescent="0.25">
      <c r="A126" s="10">
        <v>8204</v>
      </c>
      <c r="B126" s="91">
        <v>8.1999999999999993</v>
      </c>
      <c r="C126" s="96">
        <v>0.53333333333333333</v>
      </c>
      <c r="D126" s="96">
        <v>0.73333333333333328</v>
      </c>
      <c r="E126" s="96">
        <v>0.8666666666666667</v>
      </c>
      <c r="F126" s="96">
        <v>0.53333333333333333</v>
      </c>
      <c r="G126" s="83" t="str">
        <f>IF(Table1[[#This Row],[I-E]]&gt;0.5,"I","E") &amp; IF(Table1[[#This Row],[S-N]]&gt;0.5,"S","N") &amp; IF(Table1[[#This Row],[T-F]]&gt;0.5,"T","F") &amp; IF(Table1[[#This Row],[J-P]]&gt;0.5,"J","P")</f>
        <v>ISTJ</v>
      </c>
      <c r="H126" s="93">
        <f>VALUE(LEFT(Table1[[#This Row],[Class]], FIND(".",Table1[[#This Row],[Class]])-1))</f>
        <v>8</v>
      </c>
      <c r="I126" s="93">
        <f>VALUE(RIGHT(Table1[[#This Row],[Class]],LEN(Table1[[#This Row],[Class]]) - FIND(".",Table1[[#This Row],[Class]])))</f>
        <v>2</v>
      </c>
    </row>
    <row r="127" spans="1:9" ht="21.6" x14ac:dyDescent="0.25">
      <c r="A127" s="10">
        <v>8205</v>
      </c>
      <c r="B127" s="91">
        <v>8.1999999999999993</v>
      </c>
      <c r="C127" s="96">
        <v>0.33333333333333326</v>
      </c>
      <c r="D127" s="96">
        <v>0.6</v>
      </c>
      <c r="E127" s="96">
        <v>0.6</v>
      </c>
      <c r="F127" s="96">
        <v>0.33333333333333326</v>
      </c>
      <c r="G127" s="83" t="str">
        <f>IF(Table1[[#This Row],[I-E]]&gt;0.5,"I","E") &amp; IF(Table1[[#This Row],[S-N]]&gt;0.5,"S","N") &amp; IF(Table1[[#This Row],[T-F]]&gt;0.5,"T","F") &amp; IF(Table1[[#This Row],[J-P]]&gt;0.5,"J","P")</f>
        <v>ESTP</v>
      </c>
      <c r="H127" s="93">
        <f>VALUE(LEFT(Table1[[#This Row],[Class]], FIND(".",Table1[[#This Row],[Class]])-1))</f>
        <v>8</v>
      </c>
      <c r="I127" s="93">
        <f>VALUE(RIGHT(Table1[[#This Row],[Class]],LEN(Table1[[#This Row],[Class]]) - FIND(".",Table1[[#This Row],[Class]])))</f>
        <v>2</v>
      </c>
    </row>
    <row r="128" spans="1:9" ht="21.6" x14ac:dyDescent="0.25">
      <c r="A128" s="10">
        <v>8206</v>
      </c>
      <c r="B128" s="91">
        <v>8.1999999999999993</v>
      </c>
      <c r="C128" s="96">
        <v>0.46666666666666667</v>
      </c>
      <c r="D128" s="96">
        <v>0.53333333333333333</v>
      </c>
      <c r="E128" s="96">
        <v>0.26666666666666661</v>
      </c>
      <c r="F128" s="96">
        <v>0.6</v>
      </c>
      <c r="G128" s="83" t="str">
        <f>IF(Table1[[#This Row],[I-E]]&gt;0.5,"I","E") &amp; IF(Table1[[#This Row],[S-N]]&gt;0.5,"S","N") &amp; IF(Table1[[#This Row],[T-F]]&gt;0.5,"T","F") &amp; IF(Table1[[#This Row],[J-P]]&gt;0.5,"J","P")</f>
        <v>ESFJ</v>
      </c>
      <c r="H128" s="93">
        <f>VALUE(LEFT(Table1[[#This Row],[Class]], FIND(".",Table1[[#This Row],[Class]])-1))</f>
        <v>8</v>
      </c>
      <c r="I128" s="93">
        <f>VALUE(RIGHT(Table1[[#This Row],[Class]],LEN(Table1[[#This Row],[Class]]) - FIND(".",Table1[[#This Row],[Class]])))</f>
        <v>2</v>
      </c>
    </row>
    <row r="129" spans="1:9" ht="21.6" x14ac:dyDescent="0.25">
      <c r="A129" s="10">
        <v>8207</v>
      </c>
      <c r="B129" s="91">
        <v>8.1999999999999993</v>
      </c>
      <c r="C129" s="96">
        <v>0.6</v>
      </c>
      <c r="D129" s="96">
        <v>0.33333333333333326</v>
      </c>
      <c r="E129" s="96">
        <v>0.93333333333333335</v>
      </c>
      <c r="F129" s="96">
        <v>0.66666666666666663</v>
      </c>
      <c r="G129" s="83" t="str">
        <f>IF(Table1[[#This Row],[I-E]]&gt;0.5,"I","E") &amp; IF(Table1[[#This Row],[S-N]]&gt;0.5,"S","N") &amp; IF(Table1[[#This Row],[T-F]]&gt;0.5,"T","F") &amp; IF(Table1[[#This Row],[J-P]]&gt;0.5,"J","P")</f>
        <v>INTJ</v>
      </c>
      <c r="H129" s="93">
        <f>VALUE(LEFT(Table1[[#This Row],[Class]], FIND(".",Table1[[#This Row],[Class]])-1))</f>
        <v>8</v>
      </c>
      <c r="I129" s="93">
        <f>VALUE(RIGHT(Table1[[#This Row],[Class]],LEN(Table1[[#This Row],[Class]]) - FIND(".",Table1[[#This Row],[Class]])))</f>
        <v>2</v>
      </c>
    </row>
    <row r="130" spans="1:9" ht="21.6" x14ac:dyDescent="0.25">
      <c r="A130" s="10">
        <v>8208</v>
      </c>
      <c r="B130" s="91">
        <v>8.1999999999999993</v>
      </c>
      <c r="C130" s="96">
        <v>0.46666666666666667</v>
      </c>
      <c r="D130" s="96">
        <v>0.33333333333333326</v>
      </c>
      <c r="E130" s="96">
        <v>0.8666666666666667</v>
      </c>
      <c r="F130" s="96">
        <v>0.19999999999999996</v>
      </c>
      <c r="G130" s="83" t="str">
        <f>IF(Table1[[#This Row],[I-E]]&gt;0.5,"I","E") &amp; IF(Table1[[#This Row],[S-N]]&gt;0.5,"S","N") &amp; IF(Table1[[#This Row],[T-F]]&gt;0.5,"T","F") &amp; IF(Table1[[#This Row],[J-P]]&gt;0.5,"J","P")</f>
        <v>ENTP</v>
      </c>
      <c r="H130" s="93">
        <f>VALUE(LEFT(Table1[[#This Row],[Class]], FIND(".",Table1[[#This Row],[Class]])-1))</f>
        <v>8</v>
      </c>
      <c r="I130" s="93">
        <f>VALUE(RIGHT(Table1[[#This Row],[Class]],LEN(Table1[[#This Row],[Class]]) - FIND(".",Table1[[#This Row],[Class]])))</f>
        <v>2</v>
      </c>
    </row>
    <row r="131" spans="1:9" ht="21.6" x14ac:dyDescent="0.25">
      <c r="A131" s="10">
        <v>8209</v>
      </c>
      <c r="B131" s="91">
        <v>8.1999999999999993</v>
      </c>
      <c r="C131" s="96">
        <v>0.53333333333333333</v>
      </c>
      <c r="D131" s="96">
        <v>0.33333333333333326</v>
      </c>
      <c r="E131" s="96">
        <v>0.73333333333333328</v>
      </c>
      <c r="F131" s="96">
        <v>0.53333333333333333</v>
      </c>
      <c r="G131" s="83" t="str">
        <f>IF(Table1[[#This Row],[I-E]]&gt;0.5,"I","E") &amp; IF(Table1[[#This Row],[S-N]]&gt;0.5,"S","N") &amp; IF(Table1[[#This Row],[T-F]]&gt;0.5,"T","F") &amp; IF(Table1[[#This Row],[J-P]]&gt;0.5,"J","P")</f>
        <v>INTJ</v>
      </c>
      <c r="H131" s="93">
        <f>VALUE(LEFT(Table1[[#This Row],[Class]], FIND(".",Table1[[#This Row],[Class]])-1))</f>
        <v>8</v>
      </c>
      <c r="I131" s="93">
        <f>VALUE(RIGHT(Table1[[#This Row],[Class]],LEN(Table1[[#This Row],[Class]]) - FIND(".",Table1[[#This Row],[Class]])))</f>
        <v>2</v>
      </c>
    </row>
    <row r="132" spans="1:9" ht="21.6" x14ac:dyDescent="0.25">
      <c r="A132" s="10">
        <v>8210</v>
      </c>
      <c r="B132" s="91">
        <v>8.1999999999999993</v>
      </c>
      <c r="C132" s="96">
        <v>0.6</v>
      </c>
      <c r="D132" s="96">
        <v>0.73333333333333328</v>
      </c>
      <c r="E132" s="96">
        <v>0.73333333333333328</v>
      </c>
      <c r="F132" s="96">
        <v>0.46666666666666667</v>
      </c>
      <c r="G132" s="83" t="str">
        <f>IF(Table1[[#This Row],[I-E]]&gt;0.5,"I","E") &amp; IF(Table1[[#This Row],[S-N]]&gt;0.5,"S","N") &amp; IF(Table1[[#This Row],[T-F]]&gt;0.5,"T","F") &amp; IF(Table1[[#This Row],[J-P]]&gt;0.5,"J","P")</f>
        <v>ISTP</v>
      </c>
      <c r="H132" s="93">
        <f>VALUE(LEFT(Table1[[#This Row],[Class]], FIND(".",Table1[[#This Row],[Class]])-1))</f>
        <v>8</v>
      </c>
      <c r="I132" s="93">
        <f>VALUE(RIGHT(Table1[[#This Row],[Class]],LEN(Table1[[#This Row],[Class]]) - FIND(".",Table1[[#This Row],[Class]])))</f>
        <v>2</v>
      </c>
    </row>
    <row r="133" spans="1:9" ht="21.6" x14ac:dyDescent="0.25">
      <c r="A133" s="10">
        <v>8211</v>
      </c>
      <c r="B133" s="91">
        <v>8.1999999999999993</v>
      </c>
      <c r="C133" s="96">
        <v>0.33333333333333326</v>
      </c>
      <c r="D133" s="96">
        <v>0.66666666666666663</v>
      </c>
      <c r="E133" s="96">
        <v>0.8</v>
      </c>
      <c r="F133" s="96">
        <v>0.8</v>
      </c>
      <c r="G133" s="83" t="str">
        <f>IF(Table1[[#This Row],[I-E]]&gt;0.5,"I","E") &amp; IF(Table1[[#This Row],[S-N]]&gt;0.5,"S","N") &amp; IF(Table1[[#This Row],[T-F]]&gt;0.5,"T","F") &amp; IF(Table1[[#This Row],[J-P]]&gt;0.5,"J","P")</f>
        <v>ESTJ</v>
      </c>
      <c r="H133" s="93">
        <f>VALUE(LEFT(Table1[[#This Row],[Class]], FIND(".",Table1[[#This Row],[Class]])-1))</f>
        <v>8</v>
      </c>
      <c r="I133" s="93">
        <f>VALUE(RIGHT(Table1[[#This Row],[Class]],LEN(Table1[[#This Row],[Class]]) - FIND(".",Table1[[#This Row],[Class]])))</f>
        <v>2</v>
      </c>
    </row>
    <row r="134" spans="1:9" ht="21.6" x14ac:dyDescent="0.25">
      <c r="A134" s="10">
        <v>8212</v>
      </c>
      <c r="B134" s="91">
        <v>8.1999999999999993</v>
      </c>
      <c r="C134" s="96">
        <v>0.46666666666666667</v>
      </c>
      <c r="D134" s="96">
        <v>0.46666666666666667</v>
      </c>
      <c r="E134" s="96">
        <v>0.66666666666666663</v>
      </c>
      <c r="F134" s="96">
        <v>0.46666666666666667</v>
      </c>
      <c r="G134" s="83" t="str">
        <f>IF(Table1[[#This Row],[I-E]]&gt;0.5,"I","E") &amp; IF(Table1[[#This Row],[S-N]]&gt;0.5,"S","N") &amp; IF(Table1[[#This Row],[T-F]]&gt;0.5,"T","F") &amp; IF(Table1[[#This Row],[J-P]]&gt;0.5,"J","P")</f>
        <v>ENTP</v>
      </c>
      <c r="H134" s="93">
        <f>VALUE(LEFT(Table1[[#This Row],[Class]], FIND(".",Table1[[#This Row],[Class]])-1))</f>
        <v>8</v>
      </c>
      <c r="I134" s="93">
        <f>VALUE(RIGHT(Table1[[#This Row],[Class]],LEN(Table1[[#This Row],[Class]]) - FIND(".",Table1[[#This Row],[Class]])))</f>
        <v>2</v>
      </c>
    </row>
    <row r="135" spans="1:9" ht="21.6" x14ac:dyDescent="0.25">
      <c r="A135" s="10">
        <v>8213</v>
      </c>
      <c r="B135" s="91">
        <v>8.1999999999999993</v>
      </c>
      <c r="C135" s="96">
        <v>0.6</v>
      </c>
      <c r="D135" s="96">
        <v>0.1333333333333333</v>
      </c>
      <c r="E135" s="96">
        <v>0.8666666666666667</v>
      </c>
      <c r="F135" s="96">
        <v>0.66666666666666663</v>
      </c>
      <c r="G135" s="83" t="str">
        <f>IF(Table1[[#This Row],[I-E]]&gt;0.5,"I","E") &amp; IF(Table1[[#This Row],[S-N]]&gt;0.5,"S","N") &amp; IF(Table1[[#This Row],[T-F]]&gt;0.5,"T","F") &amp; IF(Table1[[#This Row],[J-P]]&gt;0.5,"J","P")</f>
        <v>INTJ</v>
      </c>
      <c r="H135" s="93">
        <f>VALUE(LEFT(Table1[[#This Row],[Class]], FIND(".",Table1[[#This Row],[Class]])-1))</f>
        <v>8</v>
      </c>
      <c r="I135" s="93">
        <f>VALUE(RIGHT(Table1[[#This Row],[Class]],LEN(Table1[[#This Row],[Class]]) - FIND(".",Table1[[#This Row],[Class]])))</f>
        <v>2</v>
      </c>
    </row>
    <row r="136" spans="1:9" ht="21.6" x14ac:dyDescent="0.25">
      <c r="A136" s="10">
        <v>8214</v>
      </c>
      <c r="B136" s="91">
        <v>8.1999999999999993</v>
      </c>
      <c r="C136" s="96">
        <v>0.8666666666666667</v>
      </c>
      <c r="D136" s="96">
        <v>0.93333333333333335</v>
      </c>
      <c r="E136" s="96">
        <v>0.66666666666666663</v>
      </c>
      <c r="F136" s="96">
        <v>0.46666666666666667</v>
      </c>
      <c r="G136" s="83" t="str">
        <f>IF(Table1[[#This Row],[I-E]]&gt;0.5,"I","E") &amp; IF(Table1[[#This Row],[S-N]]&gt;0.5,"S","N") &amp; IF(Table1[[#This Row],[T-F]]&gt;0.5,"T","F") &amp; IF(Table1[[#This Row],[J-P]]&gt;0.5,"J","P")</f>
        <v>ISTP</v>
      </c>
      <c r="H136" s="93">
        <f>VALUE(LEFT(Table1[[#This Row],[Class]], FIND(".",Table1[[#This Row],[Class]])-1))</f>
        <v>8</v>
      </c>
      <c r="I136" s="93">
        <f>VALUE(RIGHT(Table1[[#This Row],[Class]],LEN(Table1[[#This Row],[Class]]) - FIND(".",Table1[[#This Row],[Class]])))</f>
        <v>2</v>
      </c>
    </row>
    <row r="137" spans="1:9" ht="21.6" x14ac:dyDescent="0.25">
      <c r="A137" s="10">
        <v>8215</v>
      </c>
      <c r="B137" s="91">
        <v>8.1999999999999993</v>
      </c>
      <c r="C137" s="96">
        <v>0.6</v>
      </c>
      <c r="D137" s="96">
        <v>0.8666666666666667</v>
      </c>
      <c r="E137" s="96">
        <v>0.33333333333333326</v>
      </c>
      <c r="F137" s="96">
        <v>0.6</v>
      </c>
      <c r="G137" s="83" t="str">
        <f>IF(Table1[[#This Row],[I-E]]&gt;0.5,"I","E") &amp; IF(Table1[[#This Row],[S-N]]&gt;0.5,"S","N") &amp; IF(Table1[[#This Row],[T-F]]&gt;0.5,"T","F") &amp; IF(Table1[[#This Row],[J-P]]&gt;0.5,"J","P")</f>
        <v>ISFJ</v>
      </c>
      <c r="H137" s="93">
        <f>VALUE(LEFT(Table1[[#This Row],[Class]], FIND(".",Table1[[#This Row],[Class]])-1))</f>
        <v>8</v>
      </c>
      <c r="I137" s="93">
        <f>VALUE(RIGHT(Table1[[#This Row],[Class]],LEN(Table1[[#This Row],[Class]]) - FIND(".",Table1[[#This Row],[Class]])))</f>
        <v>2</v>
      </c>
    </row>
    <row r="138" spans="1:9" ht="21.6" x14ac:dyDescent="0.25">
      <c r="A138" s="10">
        <v>8216</v>
      </c>
      <c r="B138" s="91">
        <v>8.1999999999999993</v>
      </c>
      <c r="C138" s="96">
        <v>0.26666666666666661</v>
      </c>
      <c r="D138" s="96">
        <v>0</v>
      </c>
      <c r="E138" s="96">
        <v>0.26666666666666661</v>
      </c>
      <c r="F138" s="96">
        <v>0.19999999999999996</v>
      </c>
      <c r="G138" s="83" t="str">
        <f>IF(Table1[[#This Row],[I-E]]&gt;0.5,"I","E") &amp; IF(Table1[[#This Row],[S-N]]&gt;0.5,"S","N") &amp; IF(Table1[[#This Row],[T-F]]&gt;0.5,"T","F") &amp; IF(Table1[[#This Row],[J-P]]&gt;0.5,"J","P")</f>
        <v>ENFP</v>
      </c>
      <c r="H138" s="93">
        <f>VALUE(LEFT(Table1[[#This Row],[Class]], FIND(".",Table1[[#This Row],[Class]])-1))</f>
        <v>8</v>
      </c>
      <c r="I138" s="93">
        <f>VALUE(RIGHT(Table1[[#This Row],[Class]],LEN(Table1[[#This Row],[Class]]) - FIND(".",Table1[[#This Row],[Class]])))</f>
        <v>2</v>
      </c>
    </row>
    <row r="139" spans="1:9" ht="21.6" x14ac:dyDescent="0.25">
      <c r="A139" s="10">
        <v>8217</v>
      </c>
      <c r="B139" s="91">
        <v>8.1999999999999993</v>
      </c>
      <c r="C139" s="96">
        <v>0.8</v>
      </c>
      <c r="D139" s="96">
        <v>0.33333333333333326</v>
      </c>
      <c r="E139" s="96">
        <v>0.66666666666666663</v>
      </c>
      <c r="F139" s="96">
        <v>0.26666666666666661</v>
      </c>
      <c r="G139" s="83" t="str">
        <f>IF(Table1[[#This Row],[I-E]]&gt;0.5,"I","E") &amp; IF(Table1[[#This Row],[S-N]]&gt;0.5,"S","N") &amp; IF(Table1[[#This Row],[T-F]]&gt;0.5,"T","F") &amp; IF(Table1[[#This Row],[J-P]]&gt;0.5,"J","P")</f>
        <v>INTP</v>
      </c>
      <c r="H139" s="93">
        <f>VALUE(LEFT(Table1[[#This Row],[Class]], FIND(".",Table1[[#This Row],[Class]])-1))</f>
        <v>8</v>
      </c>
      <c r="I139" s="93">
        <f>VALUE(RIGHT(Table1[[#This Row],[Class]],LEN(Table1[[#This Row],[Class]]) - FIND(".",Table1[[#This Row],[Class]])))</f>
        <v>2</v>
      </c>
    </row>
    <row r="140" spans="1:9" ht="21.6" x14ac:dyDescent="0.25">
      <c r="A140" s="10">
        <v>8218</v>
      </c>
      <c r="B140" s="91">
        <v>8.1999999999999993</v>
      </c>
      <c r="C140" s="96">
        <v>0.73333333333333328</v>
      </c>
      <c r="D140" s="96">
        <v>0.26666666666666661</v>
      </c>
      <c r="E140" s="96">
        <v>1</v>
      </c>
      <c r="F140" s="96">
        <v>0.26666666666666661</v>
      </c>
      <c r="G140" s="83" t="str">
        <f>IF(Table1[[#This Row],[I-E]]&gt;0.5,"I","E") &amp; IF(Table1[[#This Row],[S-N]]&gt;0.5,"S","N") &amp; IF(Table1[[#This Row],[T-F]]&gt;0.5,"T","F") &amp; IF(Table1[[#This Row],[J-P]]&gt;0.5,"J","P")</f>
        <v>INTP</v>
      </c>
      <c r="H140" s="93">
        <f>VALUE(LEFT(Table1[[#This Row],[Class]], FIND(".",Table1[[#This Row],[Class]])-1))</f>
        <v>8</v>
      </c>
      <c r="I140" s="93">
        <f>VALUE(RIGHT(Table1[[#This Row],[Class]],LEN(Table1[[#This Row],[Class]]) - FIND(".",Table1[[#This Row],[Class]])))</f>
        <v>2</v>
      </c>
    </row>
    <row r="141" spans="1:9" ht="21.6" x14ac:dyDescent="0.25">
      <c r="A141" s="10">
        <v>8219</v>
      </c>
      <c r="B141" s="91">
        <v>8.1999999999999993</v>
      </c>
      <c r="C141" s="96">
        <v>0.4</v>
      </c>
      <c r="D141" s="96">
        <v>0.53333333333333333</v>
      </c>
      <c r="E141" s="96">
        <v>0.73333333333333328</v>
      </c>
      <c r="F141" s="96">
        <v>0.8</v>
      </c>
      <c r="G141" s="83" t="str">
        <f>IF(Table1[[#This Row],[I-E]]&gt;0.5,"I","E") &amp; IF(Table1[[#This Row],[S-N]]&gt;0.5,"S","N") &amp; IF(Table1[[#This Row],[T-F]]&gt;0.5,"T","F") &amp; IF(Table1[[#This Row],[J-P]]&gt;0.5,"J","P")</f>
        <v>ESTJ</v>
      </c>
      <c r="H141" s="93">
        <f>VALUE(LEFT(Table1[[#This Row],[Class]], FIND(".",Table1[[#This Row],[Class]])-1))</f>
        <v>8</v>
      </c>
      <c r="I141" s="93">
        <f>VALUE(RIGHT(Table1[[#This Row],[Class]],LEN(Table1[[#This Row],[Class]]) - FIND(".",Table1[[#This Row],[Class]])))</f>
        <v>2</v>
      </c>
    </row>
    <row r="142" spans="1:9" ht="21.6" x14ac:dyDescent="0.25">
      <c r="A142" s="10">
        <v>8220</v>
      </c>
      <c r="B142" s="91">
        <v>8.1999999999999993</v>
      </c>
      <c r="C142" s="96">
        <v>0.6</v>
      </c>
      <c r="D142" s="96">
        <v>0.19999999999999996</v>
      </c>
      <c r="E142" s="96">
        <v>0.6</v>
      </c>
      <c r="F142" s="96">
        <v>0.4</v>
      </c>
      <c r="G142" s="83" t="str">
        <f>IF(Table1[[#This Row],[I-E]]&gt;0.5,"I","E") &amp; IF(Table1[[#This Row],[S-N]]&gt;0.5,"S","N") &amp; IF(Table1[[#This Row],[T-F]]&gt;0.5,"T","F") &amp; IF(Table1[[#This Row],[J-P]]&gt;0.5,"J","P")</f>
        <v>INTP</v>
      </c>
      <c r="H142" s="93">
        <f>VALUE(LEFT(Table1[[#This Row],[Class]], FIND(".",Table1[[#This Row],[Class]])-1))</f>
        <v>8</v>
      </c>
      <c r="I142" s="93">
        <f>VALUE(RIGHT(Table1[[#This Row],[Class]],LEN(Table1[[#This Row],[Class]]) - FIND(".",Table1[[#This Row],[Class]])))</f>
        <v>2</v>
      </c>
    </row>
    <row r="143" spans="1:9" ht="21.6" x14ac:dyDescent="0.25">
      <c r="A143" s="10">
        <v>8221</v>
      </c>
      <c r="B143" s="91">
        <v>8.1999999999999993</v>
      </c>
      <c r="C143" s="96">
        <v>0.73333333333333328</v>
      </c>
      <c r="D143" s="96">
        <v>0.6</v>
      </c>
      <c r="E143" s="96">
        <v>0.66666666666666663</v>
      </c>
      <c r="F143" s="96">
        <v>0.66666666666666663</v>
      </c>
      <c r="G143" s="83" t="str">
        <f>IF(Table1[[#This Row],[I-E]]&gt;0.5,"I","E") &amp; IF(Table1[[#This Row],[S-N]]&gt;0.5,"S","N") &amp; IF(Table1[[#This Row],[T-F]]&gt;0.5,"T","F") &amp; IF(Table1[[#This Row],[J-P]]&gt;0.5,"J","P")</f>
        <v>ISTJ</v>
      </c>
      <c r="H143" s="93">
        <f>VALUE(LEFT(Table1[[#This Row],[Class]], FIND(".",Table1[[#This Row],[Class]])-1))</f>
        <v>8</v>
      </c>
      <c r="I143" s="93">
        <f>VALUE(RIGHT(Table1[[#This Row],[Class]],LEN(Table1[[#This Row],[Class]]) - FIND(".",Table1[[#This Row],[Class]])))</f>
        <v>2</v>
      </c>
    </row>
    <row r="144" spans="1:9" ht="21.6" x14ac:dyDescent="0.25">
      <c r="A144" s="10">
        <v>8222</v>
      </c>
      <c r="B144" s="91">
        <v>8.1999999999999993</v>
      </c>
      <c r="C144" s="96">
        <v>0.46666666666666667</v>
      </c>
      <c r="D144" s="96">
        <v>0.46666666666666667</v>
      </c>
      <c r="E144" s="96">
        <v>0.73333333333333328</v>
      </c>
      <c r="F144" s="96">
        <v>0.8</v>
      </c>
      <c r="G144" s="83" t="str">
        <f>IF(Table1[[#This Row],[I-E]]&gt;0.5,"I","E") &amp; IF(Table1[[#This Row],[S-N]]&gt;0.5,"S","N") &amp; IF(Table1[[#This Row],[T-F]]&gt;0.5,"T","F") &amp; IF(Table1[[#This Row],[J-P]]&gt;0.5,"J","P")</f>
        <v>ENTJ</v>
      </c>
      <c r="H144" s="93">
        <f>VALUE(LEFT(Table1[[#This Row],[Class]], FIND(".",Table1[[#This Row],[Class]])-1))</f>
        <v>8</v>
      </c>
      <c r="I144" s="93">
        <f>VALUE(RIGHT(Table1[[#This Row],[Class]],LEN(Table1[[#This Row],[Class]]) - FIND(".",Table1[[#This Row],[Class]])))</f>
        <v>2</v>
      </c>
    </row>
    <row r="145" spans="1:9" ht="21.6" x14ac:dyDescent="0.25">
      <c r="A145" s="10">
        <v>8223</v>
      </c>
      <c r="B145" s="91">
        <v>8.1999999999999993</v>
      </c>
      <c r="C145" s="96">
        <v>0.6</v>
      </c>
      <c r="D145" s="96">
        <v>0.4</v>
      </c>
      <c r="E145" s="96">
        <v>0.46666666666666667</v>
      </c>
      <c r="F145" s="96">
        <v>0.66666666666666663</v>
      </c>
      <c r="G145" s="83" t="str">
        <f>IF(Table1[[#This Row],[I-E]]&gt;0.5,"I","E") &amp; IF(Table1[[#This Row],[S-N]]&gt;0.5,"S","N") &amp; IF(Table1[[#This Row],[T-F]]&gt;0.5,"T","F") &amp; IF(Table1[[#This Row],[J-P]]&gt;0.5,"J","P")</f>
        <v>INFJ</v>
      </c>
      <c r="H145" s="93">
        <f>VALUE(LEFT(Table1[[#This Row],[Class]], FIND(".",Table1[[#This Row],[Class]])-1))</f>
        <v>8</v>
      </c>
      <c r="I145" s="93">
        <f>VALUE(RIGHT(Table1[[#This Row],[Class]],LEN(Table1[[#This Row],[Class]]) - FIND(".",Table1[[#This Row],[Class]])))</f>
        <v>2</v>
      </c>
    </row>
    <row r="146" spans="1:9" ht="21.6" x14ac:dyDescent="0.25">
      <c r="A146" s="10">
        <v>8224</v>
      </c>
      <c r="B146" s="91">
        <v>8.1999999999999993</v>
      </c>
      <c r="C146" s="96">
        <v>0.46666666666666667</v>
      </c>
      <c r="D146" s="96">
        <v>0.53333333333333333</v>
      </c>
      <c r="E146" s="96">
        <v>0.26666666666666661</v>
      </c>
      <c r="F146" s="96">
        <v>0.73333333333333328</v>
      </c>
      <c r="G146" s="83" t="str">
        <f>IF(Table1[[#This Row],[I-E]]&gt;0.5,"I","E") &amp; IF(Table1[[#This Row],[S-N]]&gt;0.5,"S","N") &amp; IF(Table1[[#This Row],[T-F]]&gt;0.5,"T","F") &amp; IF(Table1[[#This Row],[J-P]]&gt;0.5,"J","P")</f>
        <v>ESFJ</v>
      </c>
      <c r="H146" s="93">
        <f>VALUE(LEFT(Table1[[#This Row],[Class]], FIND(".",Table1[[#This Row],[Class]])-1))</f>
        <v>8</v>
      </c>
      <c r="I146" s="93">
        <f>VALUE(RIGHT(Table1[[#This Row],[Class]],LEN(Table1[[#This Row],[Class]]) - FIND(".",Table1[[#This Row],[Class]])))</f>
        <v>2</v>
      </c>
    </row>
    <row r="147" spans="1:9" ht="21.6" x14ac:dyDescent="0.25">
      <c r="A147" s="10">
        <v>8225</v>
      </c>
      <c r="B147" s="91">
        <v>8.1999999999999993</v>
      </c>
      <c r="C147" s="96">
        <v>0.33333333333333326</v>
      </c>
      <c r="D147" s="96">
        <v>0.33333333333333326</v>
      </c>
      <c r="E147" s="96">
        <v>0.93333333333333335</v>
      </c>
      <c r="F147" s="96">
        <v>0.19999999999999996</v>
      </c>
      <c r="G147" s="83" t="str">
        <f>IF(Table1[[#This Row],[I-E]]&gt;0.5,"I","E") &amp; IF(Table1[[#This Row],[S-N]]&gt;0.5,"S","N") &amp; IF(Table1[[#This Row],[T-F]]&gt;0.5,"T","F") &amp; IF(Table1[[#This Row],[J-P]]&gt;0.5,"J","P")</f>
        <v>ENTP</v>
      </c>
      <c r="H147" s="93">
        <f>VALUE(LEFT(Table1[[#This Row],[Class]], FIND(".",Table1[[#This Row],[Class]])-1))</f>
        <v>8</v>
      </c>
      <c r="I147" s="93">
        <f>VALUE(RIGHT(Table1[[#This Row],[Class]],LEN(Table1[[#This Row],[Class]]) - FIND(".",Table1[[#This Row],[Class]])))</f>
        <v>2</v>
      </c>
    </row>
    <row r="148" spans="1:9" ht="21.6" x14ac:dyDescent="0.25">
      <c r="A148" s="10">
        <v>8226</v>
      </c>
      <c r="B148" s="91">
        <v>8.1999999999999993</v>
      </c>
      <c r="C148" s="96">
        <v>0.6</v>
      </c>
      <c r="D148" s="96">
        <v>0.53333333333333333</v>
      </c>
      <c r="E148" s="96">
        <v>0.46666666666666667</v>
      </c>
      <c r="F148" s="96">
        <v>0.8</v>
      </c>
      <c r="G148" s="83" t="str">
        <f>IF(Table1[[#This Row],[I-E]]&gt;0.5,"I","E") &amp; IF(Table1[[#This Row],[S-N]]&gt;0.5,"S","N") &amp; IF(Table1[[#This Row],[T-F]]&gt;0.5,"T","F") &amp; IF(Table1[[#This Row],[J-P]]&gt;0.5,"J","P")</f>
        <v>ISFJ</v>
      </c>
      <c r="H148" s="93">
        <f>VALUE(LEFT(Table1[[#This Row],[Class]], FIND(".",Table1[[#This Row],[Class]])-1))</f>
        <v>8</v>
      </c>
      <c r="I148" s="93">
        <f>VALUE(RIGHT(Table1[[#This Row],[Class]],LEN(Table1[[#This Row],[Class]]) - FIND(".",Table1[[#This Row],[Class]])))</f>
        <v>2</v>
      </c>
    </row>
    <row r="149" spans="1:9" ht="21.6" x14ac:dyDescent="0.25">
      <c r="A149" s="10">
        <v>8227</v>
      </c>
      <c r="B149" s="91">
        <v>8.1999999999999993</v>
      </c>
      <c r="C149" s="96">
        <v>0.93333333333333335</v>
      </c>
      <c r="D149" s="96">
        <v>6.6666666666666652E-2</v>
      </c>
      <c r="E149" s="96">
        <v>0.4</v>
      </c>
      <c r="F149" s="96">
        <v>0.66666666666666663</v>
      </c>
      <c r="G149" s="83" t="str">
        <f>IF(Table1[[#This Row],[I-E]]&gt;0.5,"I","E") &amp; IF(Table1[[#This Row],[S-N]]&gt;0.5,"S","N") &amp; IF(Table1[[#This Row],[T-F]]&gt;0.5,"T","F") &amp; IF(Table1[[#This Row],[J-P]]&gt;0.5,"J","P")</f>
        <v>INFJ</v>
      </c>
      <c r="H149" s="93">
        <f>VALUE(LEFT(Table1[[#This Row],[Class]], FIND(".",Table1[[#This Row],[Class]])-1))</f>
        <v>8</v>
      </c>
      <c r="I149" s="93">
        <f>VALUE(RIGHT(Table1[[#This Row],[Class]],LEN(Table1[[#This Row],[Class]]) - FIND(".",Table1[[#This Row],[Class]])))</f>
        <v>2</v>
      </c>
    </row>
    <row r="150" spans="1:9" ht="21.6" x14ac:dyDescent="0.25">
      <c r="A150" s="10">
        <v>8228</v>
      </c>
      <c r="B150" s="91">
        <v>8.1999999999999993</v>
      </c>
      <c r="C150" s="96">
        <v>0.33333333333333326</v>
      </c>
      <c r="D150" s="96">
        <v>0.4</v>
      </c>
      <c r="E150" s="96">
        <v>0.73333333333333328</v>
      </c>
      <c r="F150" s="96">
        <v>0.66666666666666663</v>
      </c>
      <c r="G150" s="83" t="str">
        <f>IF(Table1[[#This Row],[I-E]]&gt;0.5,"I","E") &amp; IF(Table1[[#This Row],[S-N]]&gt;0.5,"S","N") &amp; IF(Table1[[#This Row],[T-F]]&gt;0.5,"T","F") &amp; IF(Table1[[#This Row],[J-P]]&gt;0.5,"J","P")</f>
        <v>ENTJ</v>
      </c>
      <c r="H150" s="93">
        <f>VALUE(LEFT(Table1[[#This Row],[Class]], FIND(".",Table1[[#This Row],[Class]])-1))</f>
        <v>8</v>
      </c>
      <c r="I150" s="93">
        <f>VALUE(RIGHT(Table1[[#This Row],[Class]],LEN(Table1[[#This Row],[Class]]) - FIND(".",Table1[[#This Row],[Class]])))</f>
        <v>2</v>
      </c>
    </row>
    <row r="151" spans="1:9" ht="21.6" x14ac:dyDescent="0.25">
      <c r="A151" s="10">
        <v>8229</v>
      </c>
      <c r="B151" s="91">
        <v>8.1999999999999993</v>
      </c>
      <c r="C151" s="96">
        <v>0.53333333333333333</v>
      </c>
      <c r="D151" s="96">
        <v>0.53333333333333333</v>
      </c>
      <c r="E151" s="96">
        <v>0.53333333333333333</v>
      </c>
      <c r="F151" s="96">
        <v>0.8</v>
      </c>
      <c r="G151" s="83" t="str">
        <f>IF(Table1[[#This Row],[I-E]]&gt;0.5,"I","E") &amp; IF(Table1[[#This Row],[S-N]]&gt;0.5,"S","N") &amp; IF(Table1[[#This Row],[T-F]]&gt;0.5,"T","F") &amp; IF(Table1[[#This Row],[J-P]]&gt;0.5,"J","P")</f>
        <v>ISTJ</v>
      </c>
      <c r="H151" s="93">
        <f>VALUE(LEFT(Table1[[#This Row],[Class]], FIND(".",Table1[[#This Row],[Class]])-1))</f>
        <v>8</v>
      </c>
      <c r="I151" s="93">
        <f>VALUE(RIGHT(Table1[[#This Row],[Class]],LEN(Table1[[#This Row],[Class]]) - FIND(".",Table1[[#This Row],[Class]])))</f>
        <v>2</v>
      </c>
    </row>
    <row r="152" spans="1:9" ht="21.6" x14ac:dyDescent="0.25">
      <c r="A152" s="10">
        <v>8230</v>
      </c>
      <c r="B152" s="91">
        <v>8.1999999999999993</v>
      </c>
      <c r="C152" s="96">
        <v>0.46666666666666667</v>
      </c>
      <c r="D152" s="96">
        <v>0.53333333333333333</v>
      </c>
      <c r="E152" s="96">
        <v>0.6</v>
      </c>
      <c r="F152" s="96">
        <v>0.53333333333333333</v>
      </c>
      <c r="G152" s="83" t="str">
        <f>IF(Table1[[#This Row],[I-E]]&gt;0.5,"I","E") &amp; IF(Table1[[#This Row],[S-N]]&gt;0.5,"S","N") &amp; IF(Table1[[#This Row],[T-F]]&gt;0.5,"T","F") &amp; IF(Table1[[#This Row],[J-P]]&gt;0.5,"J","P")</f>
        <v>ESTJ</v>
      </c>
      <c r="H152" s="93">
        <f>VALUE(LEFT(Table1[[#This Row],[Class]], FIND(".",Table1[[#This Row],[Class]])-1))</f>
        <v>8</v>
      </c>
      <c r="I152" s="93">
        <f>VALUE(RIGHT(Table1[[#This Row],[Class]],LEN(Table1[[#This Row],[Class]]) - FIND(".",Table1[[#This Row],[Class]])))</f>
        <v>2</v>
      </c>
    </row>
    <row r="153" spans="1:9" ht="21.6" x14ac:dyDescent="0.25">
      <c r="A153" s="10">
        <v>9101</v>
      </c>
      <c r="B153" s="91">
        <v>9.1</v>
      </c>
      <c r="C153" s="96">
        <v>0.8</v>
      </c>
      <c r="D153" s="96">
        <v>0.4</v>
      </c>
      <c r="E153" s="96">
        <v>0.73333333333333328</v>
      </c>
      <c r="F153" s="96">
        <v>0.46666666666666667</v>
      </c>
      <c r="G153" s="83" t="str">
        <f>IF(Table1[[#This Row],[I-E]]&gt;0.5,"I","E") &amp; IF(Table1[[#This Row],[S-N]]&gt;0.5,"S","N") &amp; IF(Table1[[#This Row],[T-F]]&gt;0.5,"T","F") &amp; IF(Table1[[#This Row],[J-P]]&gt;0.5,"J","P")</f>
        <v>INTP</v>
      </c>
      <c r="H153" s="93">
        <f>VALUE(LEFT(Table1[[#This Row],[Class]], FIND(".",Table1[[#This Row],[Class]])-1))</f>
        <v>9</v>
      </c>
      <c r="I153" s="93">
        <f>VALUE(RIGHT(Table1[[#This Row],[Class]],LEN(Table1[[#This Row],[Class]]) - FIND(".",Table1[[#This Row],[Class]])))</f>
        <v>1</v>
      </c>
    </row>
    <row r="154" spans="1:9" ht="21.6" x14ac:dyDescent="0.25">
      <c r="A154" s="10">
        <v>9102</v>
      </c>
      <c r="B154" s="91">
        <v>9.1</v>
      </c>
      <c r="C154" s="96">
        <v>0.33333333333333326</v>
      </c>
      <c r="D154" s="96">
        <v>0.66666666666666663</v>
      </c>
      <c r="E154" s="96">
        <v>0.8</v>
      </c>
      <c r="F154" s="96">
        <v>0.6</v>
      </c>
      <c r="G154" s="83" t="str">
        <f>IF(Table1[[#This Row],[I-E]]&gt;0.5,"I","E") &amp; IF(Table1[[#This Row],[S-N]]&gt;0.5,"S","N") &amp; IF(Table1[[#This Row],[T-F]]&gt;0.5,"T","F") &amp; IF(Table1[[#This Row],[J-P]]&gt;0.5,"J","P")</f>
        <v>ESTJ</v>
      </c>
      <c r="H154" s="93">
        <f>VALUE(LEFT(Table1[[#This Row],[Class]], FIND(".",Table1[[#This Row],[Class]])-1))</f>
        <v>9</v>
      </c>
      <c r="I154" s="93">
        <f>VALUE(RIGHT(Table1[[#This Row],[Class]],LEN(Table1[[#This Row],[Class]]) - FIND(".",Table1[[#This Row],[Class]])))</f>
        <v>1</v>
      </c>
    </row>
    <row r="155" spans="1:9" ht="21.6" x14ac:dyDescent="0.25">
      <c r="A155" s="10">
        <v>9103</v>
      </c>
      <c r="B155" s="91">
        <v>9.1</v>
      </c>
      <c r="C155" s="96">
        <v>0.53333333333333333</v>
      </c>
      <c r="D155" s="96">
        <v>0.66666666666666663</v>
      </c>
      <c r="E155" s="96">
        <v>0.6</v>
      </c>
      <c r="F155" s="96">
        <v>0.8</v>
      </c>
      <c r="G155" s="83" t="str">
        <f>IF(Table1[[#This Row],[I-E]]&gt;0.5,"I","E") &amp; IF(Table1[[#This Row],[S-N]]&gt;0.5,"S","N") &amp; IF(Table1[[#This Row],[T-F]]&gt;0.5,"T","F") &amp; IF(Table1[[#This Row],[J-P]]&gt;0.5,"J","P")</f>
        <v>ISTJ</v>
      </c>
      <c r="H155" s="93">
        <f>VALUE(LEFT(Table1[[#This Row],[Class]], FIND(".",Table1[[#This Row],[Class]])-1))</f>
        <v>9</v>
      </c>
      <c r="I155" s="93">
        <f>VALUE(RIGHT(Table1[[#This Row],[Class]],LEN(Table1[[#This Row],[Class]]) - FIND(".",Table1[[#This Row],[Class]])))</f>
        <v>1</v>
      </c>
    </row>
    <row r="156" spans="1:9" ht="21.6" x14ac:dyDescent="0.25">
      <c r="A156" s="10">
        <v>9104</v>
      </c>
      <c r="B156" s="91">
        <v>9.1</v>
      </c>
      <c r="C156" s="96">
        <v>0.53333333333333333</v>
      </c>
      <c r="D156" s="96">
        <v>0.8666666666666667</v>
      </c>
      <c r="E156" s="96">
        <v>0.53333333333333333</v>
      </c>
      <c r="F156" s="96">
        <v>0.66666666666666663</v>
      </c>
      <c r="G156" s="83" t="str">
        <f>IF(Table1[[#This Row],[I-E]]&gt;0.5,"I","E") &amp; IF(Table1[[#This Row],[S-N]]&gt;0.5,"S","N") &amp; IF(Table1[[#This Row],[T-F]]&gt;0.5,"T","F") &amp; IF(Table1[[#This Row],[J-P]]&gt;0.5,"J","P")</f>
        <v>ISTJ</v>
      </c>
      <c r="H156" s="93">
        <f>VALUE(LEFT(Table1[[#This Row],[Class]], FIND(".",Table1[[#This Row],[Class]])-1))</f>
        <v>9</v>
      </c>
      <c r="I156" s="93">
        <f>VALUE(RIGHT(Table1[[#This Row],[Class]],LEN(Table1[[#This Row],[Class]]) - FIND(".",Table1[[#This Row],[Class]])))</f>
        <v>1</v>
      </c>
    </row>
    <row r="157" spans="1:9" ht="21.6" x14ac:dyDescent="0.25">
      <c r="A157" s="10">
        <v>9105</v>
      </c>
      <c r="B157" s="91">
        <v>9.1</v>
      </c>
      <c r="C157" s="96">
        <v>0.4</v>
      </c>
      <c r="D157" s="96">
        <v>0.53333333333333333</v>
      </c>
      <c r="E157" s="96">
        <v>1</v>
      </c>
      <c r="F157" s="96">
        <v>0.66666666666666663</v>
      </c>
      <c r="G157" s="83" t="str">
        <f>IF(Table1[[#This Row],[I-E]]&gt;0.5,"I","E") &amp; IF(Table1[[#This Row],[S-N]]&gt;0.5,"S","N") &amp; IF(Table1[[#This Row],[T-F]]&gt;0.5,"T","F") &amp; IF(Table1[[#This Row],[J-P]]&gt;0.5,"J","P")</f>
        <v>ESTJ</v>
      </c>
      <c r="H157" s="93">
        <f>VALUE(LEFT(Table1[[#This Row],[Class]], FIND(".",Table1[[#This Row],[Class]])-1))</f>
        <v>9</v>
      </c>
      <c r="I157" s="93">
        <f>VALUE(RIGHT(Table1[[#This Row],[Class]],LEN(Table1[[#This Row],[Class]]) - FIND(".",Table1[[#This Row],[Class]])))</f>
        <v>1</v>
      </c>
    </row>
    <row r="158" spans="1:9" ht="21.6" x14ac:dyDescent="0.25">
      <c r="A158" s="10">
        <v>9106</v>
      </c>
      <c r="B158" s="91">
        <v>9.1</v>
      </c>
      <c r="C158" s="96">
        <v>0.6</v>
      </c>
      <c r="D158" s="96">
        <v>0.6</v>
      </c>
      <c r="E158" s="96">
        <v>0.8</v>
      </c>
      <c r="F158" s="96">
        <v>0.53333333333333333</v>
      </c>
      <c r="G158" s="83" t="str">
        <f>IF(Table1[[#This Row],[I-E]]&gt;0.5,"I","E") &amp; IF(Table1[[#This Row],[S-N]]&gt;0.5,"S","N") &amp; IF(Table1[[#This Row],[T-F]]&gt;0.5,"T","F") &amp; IF(Table1[[#This Row],[J-P]]&gt;0.5,"J","P")</f>
        <v>ISTJ</v>
      </c>
      <c r="H158" s="93">
        <f>VALUE(LEFT(Table1[[#This Row],[Class]], FIND(".",Table1[[#This Row],[Class]])-1))</f>
        <v>9</v>
      </c>
      <c r="I158" s="93">
        <f>VALUE(RIGHT(Table1[[#This Row],[Class]],LEN(Table1[[#This Row],[Class]]) - FIND(".",Table1[[#This Row],[Class]])))</f>
        <v>1</v>
      </c>
    </row>
    <row r="159" spans="1:9" ht="21.6" x14ac:dyDescent="0.25">
      <c r="A159" s="10">
        <v>9107</v>
      </c>
      <c r="B159" s="91">
        <v>9.1</v>
      </c>
      <c r="C159" s="96">
        <v>0.73333333333333328</v>
      </c>
      <c r="D159" s="96">
        <v>0.53333333333333333</v>
      </c>
      <c r="E159" s="96">
        <v>0.8666666666666667</v>
      </c>
      <c r="F159" s="96">
        <v>0.33333333333333326</v>
      </c>
      <c r="G159" s="83" t="str">
        <f>IF(Table1[[#This Row],[I-E]]&gt;0.5,"I","E") &amp; IF(Table1[[#This Row],[S-N]]&gt;0.5,"S","N") &amp; IF(Table1[[#This Row],[T-F]]&gt;0.5,"T","F") &amp; IF(Table1[[#This Row],[J-P]]&gt;0.5,"J","P")</f>
        <v>ISTP</v>
      </c>
      <c r="H159" s="93">
        <f>VALUE(LEFT(Table1[[#This Row],[Class]], FIND(".",Table1[[#This Row],[Class]])-1))</f>
        <v>9</v>
      </c>
      <c r="I159" s="93">
        <f>VALUE(RIGHT(Table1[[#This Row],[Class]],LEN(Table1[[#This Row],[Class]]) - FIND(".",Table1[[#This Row],[Class]])))</f>
        <v>1</v>
      </c>
    </row>
    <row r="160" spans="1:9" ht="21.6" x14ac:dyDescent="0.25">
      <c r="A160" s="10">
        <v>9108</v>
      </c>
      <c r="B160" s="91">
        <v>9.1</v>
      </c>
      <c r="C160" s="96">
        <v>0.6</v>
      </c>
      <c r="D160" s="96">
        <v>0.66666666666666663</v>
      </c>
      <c r="E160" s="96">
        <v>1</v>
      </c>
      <c r="F160" s="96">
        <v>0.73333333333333328</v>
      </c>
      <c r="G160" s="83" t="str">
        <f>IF(Table1[[#This Row],[I-E]]&gt;0.5,"I","E") &amp; IF(Table1[[#This Row],[S-N]]&gt;0.5,"S","N") &amp; IF(Table1[[#This Row],[T-F]]&gt;0.5,"T","F") &amp; IF(Table1[[#This Row],[J-P]]&gt;0.5,"J","P")</f>
        <v>ISTJ</v>
      </c>
      <c r="H160" s="93">
        <f>VALUE(LEFT(Table1[[#This Row],[Class]], FIND(".",Table1[[#This Row],[Class]])-1))</f>
        <v>9</v>
      </c>
      <c r="I160" s="93">
        <f>VALUE(RIGHT(Table1[[#This Row],[Class]],LEN(Table1[[#This Row],[Class]]) - FIND(".",Table1[[#This Row],[Class]])))</f>
        <v>1</v>
      </c>
    </row>
    <row r="161" spans="1:9" ht="21.6" x14ac:dyDescent="0.25">
      <c r="A161" s="10">
        <v>9109</v>
      </c>
      <c r="B161" s="91">
        <v>9.1</v>
      </c>
      <c r="C161" s="96">
        <v>0.53333333333333333</v>
      </c>
      <c r="D161" s="96">
        <v>0.53333333333333333</v>
      </c>
      <c r="E161" s="96">
        <v>0.6</v>
      </c>
      <c r="F161" s="96">
        <v>0.66666666666666663</v>
      </c>
      <c r="G161" s="83" t="str">
        <f>IF(Table1[[#This Row],[I-E]]&gt;0.5,"I","E") &amp; IF(Table1[[#This Row],[S-N]]&gt;0.5,"S","N") &amp; IF(Table1[[#This Row],[T-F]]&gt;0.5,"T","F") &amp; IF(Table1[[#This Row],[J-P]]&gt;0.5,"J","P")</f>
        <v>ISTJ</v>
      </c>
      <c r="H161" s="93">
        <f>VALUE(LEFT(Table1[[#This Row],[Class]], FIND(".",Table1[[#This Row],[Class]])-1))</f>
        <v>9</v>
      </c>
      <c r="I161" s="93">
        <f>VALUE(RIGHT(Table1[[#This Row],[Class]],LEN(Table1[[#This Row],[Class]]) - FIND(".",Table1[[#This Row],[Class]])))</f>
        <v>1</v>
      </c>
    </row>
    <row r="162" spans="1:9" ht="21.6" x14ac:dyDescent="0.25">
      <c r="A162" s="10">
        <v>9110</v>
      </c>
      <c r="B162" s="91">
        <v>9.1</v>
      </c>
      <c r="C162" s="96">
        <v>0.8</v>
      </c>
      <c r="D162" s="96">
        <v>0.46666666666666667</v>
      </c>
      <c r="E162" s="96">
        <v>0.8</v>
      </c>
      <c r="F162" s="96">
        <v>0.46666666666666667</v>
      </c>
      <c r="G162" s="83" t="str">
        <f>IF(Table1[[#This Row],[I-E]]&gt;0.5,"I","E") &amp; IF(Table1[[#This Row],[S-N]]&gt;0.5,"S","N") &amp; IF(Table1[[#This Row],[T-F]]&gt;0.5,"T","F") &amp; IF(Table1[[#This Row],[J-P]]&gt;0.5,"J","P")</f>
        <v>INTP</v>
      </c>
      <c r="H162" s="93">
        <f>VALUE(LEFT(Table1[[#This Row],[Class]], FIND(".",Table1[[#This Row],[Class]])-1))</f>
        <v>9</v>
      </c>
      <c r="I162" s="93">
        <f>VALUE(RIGHT(Table1[[#This Row],[Class]],LEN(Table1[[#This Row],[Class]]) - FIND(".",Table1[[#This Row],[Class]])))</f>
        <v>1</v>
      </c>
    </row>
    <row r="163" spans="1:9" ht="21.6" x14ac:dyDescent="0.25">
      <c r="A163" s="10">
        <v>9111</v>
      </c>
      <c r="B163" s="91">
        <v>9.1</v>
      </c>
      <c r="C163" s="96">
        <v>0.53333333333333333</v>
      </c>
      <c r="D163" s="96">
        <v>0.66666666666666663</v>
      </c>
      <c r="E163" s="96">
        <v>0.93333333333333335</v>
      </c>
      <c r="F163" s="96">
        <v>0.46666666666666667</v>
      </c>
      <c r="G163" s="83" t="str">
        <f>IF(Table1[[#This Row],[I-E]]&gt;0.5,"I","E") &amp; IF(Table1[[#This Row],[S-N]]&gt;0.5,"S","N") &amp; IF(Table1[[#This Row],[T-F]]&gt;0.5,"T","F") &amp; IF(Table1[[#This Row],[J-P]]&gt;0.5,"J","P")</f>
        <v>ISTP</v>
      </c>
      <c r="H163" s="93">
        <f>VALUE(LEFT(Table1[[#This Row],[Class]], FIND(".",Table1[[#This Row],[Class]])-1))</f>
        <v>9</v>
      </c>
      <c r="I163" s="93">
        <f>VALUE(RIGHT(Table1[[#This Row],[Class]],LEN(Table1[[#This Row],[Class]]) - FIND(".",Table1[[#This Row],[Class]])))</f>
        <v>1</v>
      </c>
    </row>
    <row r="164" spans="1:9" ht="21.6" x14ac:dyDescent="0.25">
      <c r="A164" s="10">
        <v>9112</v>
      </c>
      <c r="B164" s="91">
        <v>9.1</v>
      </c>
      <c r="C164" s="96">
        <v>0.73333333333333328</v>
      </c>
      <c r="D164" s="96">
        <v>0.46666666666666667</v>
      </c>
      <c r="E164" s="96">
        <v>0.8666666666666667</v>
      </c>
      <c r="F164" s="96">
        <v>0.46666666666666667</v>
      </c>
      <c r="G164" s="83" t="str">
        <f>IF(Table1[[#This Row],[I-E]]&gt;0.5,"I","E") &amp; IF(Table1[[#This Row],[S-N]]&gt;0.5,"S","N") &amp; IF(Table1[[#This Row],[T-F]]&gt;0.5,"T","F") &amp; IF(Table1[[#This Row],[J-P]]&gt;0.5,"J","P")</f>
        <v>INTP</v>
      </c>
      <c r="H164" s="93">
        <f>VALUE(LEFT(Table1[[#This Row],[Class]], FIND(".",Table1[[#This Row],[Class]])-1))</f>
        <v>9</v>
      </c>
      <c r="I164" s="93">
        <f>VALUE(RIGHT(Table1[[#This Row],[Class]],LEN(Table1[[#This Row],[Class]]) - FIND(".",Table1[[#This Row],[Class]])))</f>
        <v>1</v>
      </c>
    </row>
    <row r="165" spans="1:9" ht="21.6" x14ac:dyDescent="0.25">
      <c r="A165" s="10">
        <v>9113</v>
      </c>
      <c r="B165" s="91">
        <v>9.1</v>
      </c>
      <c r="C165" s="96">
        <v>0.4</v>
      </c>
      <c r="D165" s="96">
        <v>0.4</v>
      </c>
      <c r="E165" s="96">
        <v>0.8</v>
      </c>
      <c r="F165" s="96">
        <v>0.73333333333333328</v>
      </c>
      <c r="G165" s="83" t="str">
        <f>IF(Table1[[#This Row],[I-E]]&gt;0.5,"I","E") &amp; IF(Table1[[#This Row],[S-N]]&gt;0.5,"S","N") &amp; IF(Table1[[#This Row],[T-F]]&gt;0.5,"T","F") &amp; IF(Table1[[#This Row],[J-P]]&gt;0.5,"J","P")</f>
        <v>ENTJ</v>
      </c>
      <c r="H165" s="93">
        <f>VALUE(LEFT(Table1[[#This Row],[Class]], FIND(".",Table1[[#This Row],[Class]])-1))</f>
        <v>9</v>
      </c>
      <c r="I165" s="93">
        <f>VALUE(RIGHT(Table1[[#This Row],[Class]],LEN(Table1[[#This Row],[Class]]) - FIND(".",Table1[[#This Row],[Class]])))</f>
        <v>1</v>
      </c>
    </row>
    <row r="166" spans="1:9" ht="21.6" x14ac:dyDescent="0.25">
      <c r="A166" s="10">
        <v>9114</v>
      </c>
      <c r="B166" s="91">
        <v>9.1</v>
      </c>
      <c r="C166" s="96">
        <v>0.53333333333333333</v>
      </c>
      <c r="D166" s="96">
        <v>0.73333333333333328</v>
      </c>
      <c r="E166" s="96">
        <v>0.8666666666666667</v>
      </c>
      <c r="F166" s="96">
        <v>0.26666666666666661</v>
      </c>
      <c r="G166" s="83" t="str">
        <f>IF(Table1[[#This Row],[I-E]]&gt;0.5,"I","E") &amp; IF(Table1[[#This Row],[S-N]]&gt;0.5,"S","N") &amp; IF(Table1[[#This Row],[T-F]]&gt;0.5,"T","F") &amp; IF(Table1[[#This Row],[J-P]]&gt;0.5,"J","P")</f>
        <v>ISTP</v>
      </c>
      <c r="H166" s="93">
        <f>VALUE(LEFT(Table1[[#This Row],[Class]], FIND(".",Table1[[#This Row],[Class]])-1))</f>
        <v>9</v>
      </c>
      <c r="I166" s="93">
        <f>VALUE(RIGHT(Table1[[#This Row],[Class]],LEN(Table1[[#This Row],[Class]]) - FIND(".",Table1[[#This Row],[Class]])))</f>
        <v>1</v>
      </c>
    </row>
    <row r="167" spans="1:9" ht="21.6" x14ac:dyDescent="0.25">
      <c r="A167" s="10">
        <v>9115</v>
      </c>
      <c r="B167" s="91">
        <v>9.1</v>
      </c>
      <c r="C167" s="96">
        <v>0.6</v>
      </c>
      <c r="D167" s="96">
        <v>0.46666666666666667</v>
      </c>
      <c r="E167" s="96">
        <v>0.53333333333333333</v>
      </c>
      <c r="F167" s="96">
        <v>0.46666666666666667</v>
      </c>
      <c r="G167" s="83" t="str">
        <f>IF(Table1[[#This Row],[I-E]]&gt;0.5,"I","E") &amp; IF(Table1[[#This Row],[S-N]]&gt;0.5,"S","N") &amp; IF(Table1[[#This Row],[T-F]]&gt;0.5,"T","F") &amp; IF(Table1[[#This Row],[J-P]]&gt;0.5,"J","P")</f>
        <v>INTP</v>
      </c>
      <c r="H167" s="93">
        <f>VALUE(LEFT(Table1[[#This Row],[Class]], FIND(".",Table1[[#This Row],[Class]])-1))</f>
        <v>9</v>
      </c>
      <c r="I167" s="93">
        <f>VALUE(RIGHT(Table1[[#This Row],[Class]],LEN(Table1[[#This Row],[Class]]) - FIND(".",Table1[[#This Row],[Class]])))</f>
        <v>1</v>
      </c>
    </row>
    <row r="168" spans="1:9" ht="21.6" x14ac:dyDescent="0.25">
      <c r="A168" s="10">
        <v>9116</v>
      </c>
      <c r="B168" s="91">
        <v>9.1</v>
      </c>
      <c r="C168" s="96">
        <v>0.8</v>
      </c>
      <c r="D168" s="96">
        <v>0.6</v>
      </c>
      <c r="E168" s="96">
        <v>0.93333333333333335</v>
      </c>
      <c r="F168" s="96">
        <v>0.53333333333333333</v>
      </c>
      <c r="G168" s="83" t="str">
        <f>IF(Table1[[#This Row],[I-E]]&gt;0.5,"I","E") &amp; IF(Table1[[#This Row],[S-N]]&gt;0.5,"S","N") &amp; IF(Table1[[#This Row],[T-F]]&gt;0.5,"T","F") &amp; IF(Table1[[#This Row],[J-P]]&gt;0.5,"J","P")</f>
        <v>ISTJ</v>
      </c>
      <c r="H168" s="93">
        <f>VALUE(LEFT(Table1[[#This Row],[Class]], FIND(".",Table1[[#This Row],[Class]])-1))</f>
        <v>9</v>
      </c>
      <c r="I168" s="93">
        <f>VALUE(RIGHT(Table1[[#This Row],[Class]],LEN(Table1[[#This Row],[Class]]) - FIND(".",Table1[[#This Row],[Class]])))</f>
        <v>1</v>
      </c>
    </row>
    <row r="169" spans="1:9" ht="21.6" x14ac:dyDescent="0.25">
      <c r="A169" s="10">
        <v>9117</v>
      </c>
      <c r="B169" s="91">
        <v>9.1</v>
      </c>
      <c r="C169" s="96">
        <v>0.46666666666666667</v>
      </c>
      <c r="D169" s="96">
        <v>0.53333333333333333</v>
      </c>
      <c r="E169" s="96">
        <v>0.6</v>
      </c>
      <c r="F169" s="96">
        <v>0.73333333333333328</v>
      </c>
      <c r="G169" s="83" t="str">
        <f>IF(Table1[[#This Row],[I-E]]&gt;0.5,"I","E") &amp; IF(Table1[[#This Row],[S-N]]&gt;0.5,"S","N") &amp; IF(Table1[[#This Row],[T-F]]&gt;0.5,"T","F") &amp; IF(Table1[[#This Row],[J-P]]&gt;0.5,"J","P")</f>
        <v>ESTJ</v>
      </c>
      <c r="H169" s="93">
        <f>VALUE(LEFT(Table1[[#This Row],[Class]], FIND(".",Table1[[#This Row],[Class]])-1))</f>
        <v>9</v>
      </c>
      <c r="I169" s="93">
        <f>VALUE(RIGHT(Table1[[#This Row],[Class]],LEN(Table1[[#This Row],[Class]]) - FIND(".",Table1[[#This Row],[Class]])))</f>
        <v>1</v>
      </c>
    </row>
    <row r="170" spans="1:9" ht="21.6" x14ac:dyDescent="0.25">
      <c r="A170" s="10">
        <v>9118</v>
      </c>
      <c r="B170" s="91">
        <v>9.1</v>
      </c>
      <c r="C170" s="96">
        <v>0.53333333333333333</v>
      </c>
      <c r="D170" s="96">
        <v>0.53333333333333333</v>
      </c>
      <c r="E170" s="96">
        <v>0.8666666666666667</v>
      </c>
      <c r="F170" s="96">
        <v>0.66666666666666663</v>
      </c>
      <c r="G170" s="83" t="str">
        <f>IF(Table1[[#This Row],[I-E]]&gt;0.5,"I","E") &amp; IF(Table1[[#This Row],[S-N]]&gt;0.5,"S","N") &amp; IF(Table1[[#This Row],[T-F]]&gt;0.5,"T","F") &amp; IF(Table1[[#This Row],[J-P]]&gt;0.5,"J","P")</f>
        <v>ISTJ</v>
      </c>
      <c r="H170" s="93">
        <f>VALUE(LEFT(Table1[[#This Row],[Class]], FIND(".",Table1[[#This Row],[Class]])-1))</f>
        <v>9</v>
      </c>
      <c r="I170" s="93">
        <f>VALUE(RIGHT(Table1[[#This Row],[Class]],LEN(Table1[[#This Row],[Class]]) - FIND(".",Table1[[#This Row],[Class]])))</f>
        <v>1</v>
      </c>
    </row>
    <row r="171" spans="1:9" ht="21.6" x14ac:dyDescent="0.25">
      <c r="A171" s="10">
        <v>9119</v>
      </c>
      <c r="B171" s="91">
        <v>9.1</v>
      </c>
      <c r="C171" s="96">
        <v>0.53333333333333333</v>
      </c>
      <c r="D171" s="96">
        <v>0.33333333333333326</v>
      </c>
      <c r="E171" s="96">
        <v>1</v>
      </c>
      <c r="F171" s="96">
        <v>0.4</v>
      </c>
      <c r="G171" s="83" t="str">
        <f>IF(Table1[[#This Row],[I-E]]&gt;0.5,"I","E") &amp; IF(Table1[[#This Row],[S-N]]&gt;0.5,"S","N") &amp; IF(Table1[[#This Row],[T-F]]&gt;0.5,"T","F") &amp; IF(Table1[[#This Row],[J-P]]&gt;0.5,"J","P")</f>
        <v>INTP</v>
      </c>
      <c r="H171" s="93">
        <f>VALUE(LEFT(Table1[[#This Row],[Class]], FIND(".",Table1[[#This Row],[Class]])-1))</f>
        <v>9</v>
      </c>
      <c r="I171" s="93">
        <f>VALUE(RIGHT(Table1[[#This Row],[Class]],LEN(Table1[[#This Row],[Class]]) - FIND(".",Table1[[#This Row],[Class]])))</f>
        <v>1</v>
      </c>
    </row>
    <row r="172" spans="1:9" ht="21.6" x14ac:dyDescent="0.25">
      <c r="A172" s="10">
        <v>9120</v>
      </c>
      <c r="B172" s="91">
        <v>9.1</v>
      </c>
      <c r="C172" s="96">
        <v>0.33333333333333326</v>
      </c>
      <c r="D172" s="96">
        <v>0.6</v>
      </c>
      <c r="E172" s="96">
        <v>0.66666666666666663</v>
      </c>
      <c r="F172" s="96">
        <v>0.46666666666666667</v>
      </c>
      <c r="G172" s="83" t="str">
        <f>IF(Table1[[#This Row],[I-E]]&gt;0.5,"I","E") &amp; IF(Table1[[#This Row],[S-N]]&gt;0.5,"S","N") &amp; IF(Table1[[#This Row],[T-F]]&gt;0.5,"T","F") &amp; IF(Table1[[#This Row],[J-P]]&gt;0.5,"J","P")</f>
        <v>ESTP</v>
      </c>
      <c r="H172" s="93">
        <f>VALUE(LEFT(Table1[[#This Row],[Class]], FIND(".",Table1[[#This Row],[Class]])-1))</f>
        <v>9</v>
      </c>
      <c r="I172" s="93">
        <f>VALUE(RIGHT(Table1[[#This Row],[Class]],LEN(Table1[[#This Row],[Class]]) - FIND(".",Table1[[#This Row],[Class]])))</f>
        <v>1</v>
      </c>
    </row>
    <row r="173" spans="1:9" ht="21.6" x14ac:dyDescent="0.25">
      <c r="A173" s="10">
        <v>9121</v>
      </c>
      <c r="B173" s="91">
        <v>9.1</v>
      </c>
      <c r="C173" s="96">
        <v>0.6</v>
      </c>
      <c r="D173" s="96">
        <v>0.8666666666666667</v>
      </c>
      <c r="E173" s="96">
        <v>0.73333333333333328</v>
      </c>
      <c r="F173" s="96">
        <v>0.66666666666666663</v>
      </c>
      <c r="G173" s="83" t="str">
        <f>IF(Table1[[#This Row],[I-E]]&gt;0.5,"I","E") &amp; IF(Table1[[#This Row],[S-N]]&gt;0.5,"S","N") &amp; IF(Table1[[#This Row],[T-F]]&gt;0.5,"T","F") &amp; IF(Table1[[#This Row],[J-P]]&gt;0.5,"J","P")</f>
        <v>ISTJ</v>
      </c>
      <c r="H173" s="93">
        <f>VALUE(LEFT(Table1[[#This Row],[Class]], FIND(".",Table1[[#This Row],[Class]])-1))</f>
        <v>9</v>
      </c>
      <c r="I173" s="93">
        <f>VALUE(RIGHT(Table1[[#This Row],[Class]],LEN(Table1[[#This Row],[Class]]) - FIND(".",Table1[[#This Row],[Class]])))</f>
        <v>1</v>
      </c>
    </row>
    <row r="174" spans="1:9" ht="21.6" x14ac:dyDescent="0.25">
      <c r="A174" s="10">
        <v>9122</v>
      </c>
      <c r="B174" s="91">
        <v>9.1</v>
      </c>
      <c r="C174" s="96">
        <v>0.6</v>
      </c>
      <c r="D174" s="96">
        <v>0.33333333333333326</v>
      </c>
      <c r="E174" s="96">
        <v>0.66666666666666663</v>
      </c>
      <c r="F174" s="96">
        <v>0.4</v>
      </c>
      <c r="G174" s="83" t="str">
        <f>IF(Table1[[#This Row],[I-E]]&gt;0.5,"I","E") &amp; IF(Table1[[#This Row],[S-N]]&gt;0.5,"S","N") &amp; IF(Table1[[#This Row],[T-F]]&gt;0.5,"T","F") &amp; IF(Table1[[#This Row],[J-P]]&gt;0.5,"J","P")</f>
        <v>INTP</v>
      </c>
      <c r="H174" s="93">
        <f>VALUE(LEFT(Table1[[#This Row],[Class]], FIND(".",Table1[[#This Row],[Class]])-1))</f>
        <v>9</v>
      </c>
      <c r="I174" s="93">
        <f>VALUE(RIGHT(Table1[[#This Row],[Class]],LEN(Table1[[#This Row],[Class]]) - FIND(".",Table1[[#This Row],[Class]])))</f>
        <v>1</v>
      </c>
    </row>
    <row r="175" spans="1:9" ht="21.6" x14ac:dyDescent="0.25">
      <c r="A175" s="10">
        <v>9123</v>
      </c>
      <c r="B175" s="91">
        <v>9.1</v>
      </c>
      <c r="C175" s="96">
        <v>0.46666666666666667</v>
      </c>
      <c r="D175" s="96">
        <v>0.53333333333333333</v>
      </c>
      <c r="E175" s="96">
        <v>0.6</v>
      </c>
      <c r="F175" s="96">
        <v>0.53333333333333333</v>
      </c>
      <c r="G175" s="83" t="str">
        <f>IF(Table1[[#This Row],[I-E]]&gt;0.5,"I","E") &amp; IF(Table1[[#This Row],[S-N]]&gt;0.5,"S","N") &amp; IF(Table1[[#This Row],[T-F]]&gt;0.5,"T","F") &amp; IF(Table1[[#This Row],[J-P]]&gt;0.5,"J","P")</f>
        <v>ESTJ</v>
      </c>
      <c r="H175" s="93">
        <f>VALUE(LEFT(Table1[[#This Row],[Class]], FIND(".",Table1[[#This Row],[Class]])-1))</f>
        <v>9</v>
      </c>
      <c r="I175" s="93">
        <f>VALUE(RIGHT(Table1[[#This Row],[Class]],LEN(Table1[[#This Row],[Class]]) - FIND(".",Table1[[#This Row],[Class]])))</f>
        <v>1</v>
      </c>
    </row>
    <row r="176" spans="1:9" ht="21.6" x14ac:dyDescent="0.25">
      <c r="A176" s="10">
        <v>9124</v>
      </c>
      <c r="B176" s="91">
        <v>9.1</v>
      </c>
      <c r="C176" s="96">
        <v>0.6</v>
      </c>
      <c r="D176" s="96">
        <v>0.6</v>
      </c>
      <c r="E176" s="96">
        <v>0.53333333333333333</v>
      </c>
      <c r="F176" s="96">
        <v>0.33333333333333326</v>
      </c>
      <c r="G176" s="83" t="str">
        <f>IF(Table1[[#This Row],[I-E]]&gt;0.5,"I","E") &amp; IF(Table1[[#This Row],[S-N]]&gt;0.5,"S","N") &amp; IF(Table1[[#This Row],[T-F]]&gt;0.5,"T","F") &amp; IF(Table1[[#This Row],[J-P]]&gt;0.5,"J","P")</f>
        <v>ISTP</v>
      </c>
      <c r="H176" s="93">
        <f>VALUE(LEFT(Table1[[#This Row],[Class]], FIND(".",Table1[[#This Row],[Class]])-1))</f>
        <v>9</v>
      </c>
      <c r="I176" s="93">
        <f>VALUE(RIGHT(Table1[[#This Row],[Class]],LEN(Table1[[#This Row],[Class]]) - FIND(".",Table1[[#This Row],[Class]])))</f>
        <v>1</v>
      </c>
    </row>
    <row r="177" spans="1:9" ht="21.6" x14ac:dyDescent="0.25">
      <c r="A177" s="10">
        <v>9125</v>
      </c>
      <c r="B177" s="91">
        <v>9.1</v>
      </c>
      <c r="C177" s="96">
        <v>0.46666666666666667</v>
      </c>
      <c r="D177" s="96">
        <v>0.46666666666666667</v>
      </c>
      <c r="E177" s="96">
        <v>0.8</v>
      </c>
      <c r="F177" s="96">
        <v>0.6</v>
      </c>
      <c r="G177" s="83" t="str">
        <f>IF(Table1[[#This Row],[I-E]]&gt;0.5,"I","E") &amp; IF(Table1[[#This Row],[S-N]]&gt;0.5,"S","N") &amp; IF(Table1[[#This Row],[T-F]]&gt;0.5,"T","F") &amp; IF(Table1[[#This Row],[J-P]]&gt;0.5,"J","P")</f>
        <v>ENTJ</v>
      </c>
      <c r="H177" s="93">
        <f>VALUE(LEFT(Table1[[#This Row],[Class]], FIND(".",Table1[[#This Row],[Class]])-1))</f>
        <v>9</v>
      </c>
      <c r="I177" s="93">
        <f>VALUE(RIGHT(Table1[[#This Row],[Class]],LEN(Table1[[#This Row],[Class]]) - FIND(".",Table1[[#This Row],[Class]])))</f>
        <v>1</v>
      </c>
    </row>
    <row r="178" spans="1:9" ht="21.6" x14ac:dyDescent="0.25">
      <c r="A178" s="10">
        <v>9126</v>
      </c>
      <c r="B178" s="91">
        <v>9.1</v>
      </c>
      <c r="C178" s="96">
        <v>0.46666666666666667</v>
      </c>
      <c r="D178" s="96">
        <v>0.6</v>
      </c>
      <c r="E178" s="96">
        <v>0.8</v>
      </c>
      <c r="F178" s="96">
        <v>0.66666666666666663</v>
      </c>
      <c r="G178" s="83" t="str">
        <f>IF(Table1[[#This Row],[I-E]]&gt;0.5,"I","E") &amp; IF(Table1[[#This Row],[S-N]]&gt;0.5,"S","N") &amp; IF(Table1[[#This Row],[T-F]]&gt;0.5,"T","F") &amp; IF(Table1[[#This Row],[J-P]]&gt;0.5,"J","P")</f>
        <v>ESTJ</v>
      </c>
      <c r="H178" s="93">
        <f>VALUE(LEFT(Table1[[#This Row],[Class]], FIND(".",Table1[[#This Row],[Class]])-1))</f>
        <v>9</v>
      </c>
      <c r="I178" s="93">
        <f>VALUE(RIGHT(Table1[[#This Row],[Class]],LEN(Table1[[#This Row],[Class]]) - FIND(".",Table1[[#This Row],[Class]])))</f>
        <v>1</v>
      </c>
    </row>
    <row r="179" spans="1:9" ht="21.6" x14ac:dyDescent="0.25">
      <c r="A179" s="10">
        <v>9127</v>
      </c>
      <c r="B179" s="91">
        <v>9.1</v>
      </c>
      <c r="C179" s="96">
        <v>0.6</v>
      </c>
      <c r="D179" s="96">
        <v>0.33333333333333326</v>
      </c>
      <c r="E179" s="96">
        <v>0.8666666666666667</v>
      </c>
      <c r="F179" s="96">
        <v>0.53333333333333333</v>
      </c>
      <c r="G179" s="83" t="str">
        <f>IF(Table1[[#This Row],[I-E]]&gt;0.5,"I","E") &amp; IF(Table1[[#This Row],[S-N]]&gt;0.5,"S","N") &amp; IF(Table1[[#This Row],[T-F]]&gt;0.5,"T","F") &amp; IF(Table1[[#This Row],[J-P]]&gt;0.5,"J","P")</f>
        <v>INTJ</v>
      </c>
      <c r="H179" s="93">
        <f>VALUE(LEFT(Table1[[#This Row],[Class]], FIND(".",Table1[[#This Row],[Class]])-1))</f>
        <v>9</v>
      </c>
      <c r="I179" s="93">
        <f>VALUE(RIGHT(Table1[[#This Row],[Class]],LEN(Table1[[#This Row],[Class]]) - FIND(".",Table1[[#This Row],[Class]])))</f>
        <v>1</v>
      </c>
    </row>
    <row r="180" spans="1:9" ht="21.6" x14ac:dyDescent="0.25">
      <c r="A180" s="10">
        <v>9128</v>
      </c>
      <c r="B180" s="91">
        <v>9.1</v>
      </c>
      <c r="C180" s="96">
        <v>0.53333333333333333</v>
      </c>
      <c r="D180" s="96">
        <v>0.6</v>
      </c>
      <c r="E180" s="96">
        <v>0.66666666666666663</v>
      </c>
      <c r="F180" s="96">
        <v>0.4</v>
      </c>
      <c r="G180" s="83" t="str">
        <f>IF(Table1[[#This Row],[I-E]]&gt;0.5,"I","E") &amp; IF(Table1[[#This Row],[S-N]]&gt;0.5,"S","N") &amp; IF(Table1[[#This Row],[T-F]]&gt;0.5,"T","F") &amp; IF(Table1[[#This Row],[J-P]]&gt;0.5,"J","P")</f>
        <v>ISTP</v>
      </c>
      <c r="H180" s="93">
        <f>VALUE(LEFT(Table1[[#This Row],[Class]], FIND(".",Table1[[#This Row],[Class]])-1))</f>
        <v>9</v>
      </c>
      <c r="I180" s="93">
        <f>VALUE(RIGHT(Table1[[#This Row],[Class]],LEN(Table1[[#This Row],[Class]]) - FIND(".",Table1[[#This Row],[Class]])))</f>
        <v>1</v>
      </c>
    </row>
    <row r="181" spans="1:9" ht="21.6" x14ac:dyDescent="0.25">
      <c r="A181" s="10">
        <v>9129</v>
      </c>
      <c r="B181" s="91">
        <v>9.1</v>
      </c>
      <c r="C181" s="96">
        <v>0.46666666666666667</v>
      </c>
      <c r="D181" s="96">
        <v>0.46666666666666667</v>
      </c>
      <c r="E181" s="96">
        <v>0.93333333333333335</v>
      </c>
      <c r="F181" s="96">
        <v>0.53333333333333333</v>
      </c>
      <c r="G181" s="83" t="str">
        <f>IF(Table1[[#This Row],[I-E]]&gt;0.5,"I","E") &amp; IF(Table1[[#This Row],[S-N]]&gt;0.5,"S","N") &amp; IF(Table1[[#This Row],[T-F]]&gt;0.5,"T","F") &amp; IF(Table1[[#This Row],[J-P]]&gt;0.5,"J","P")</f>
        <v>ENTJ</v>
      </c>
      <c r="H181" s="93">
        <f>VALUE(LEFT(Table1[[#This Row],[Class]], FIND(".",Table1[[#This Row],[Class]])-1))</f>
        <v>9</v>
      </c>
      <c r="I181" s="93">
        <f>VALUE(RIGHT(Table1[[#This Row],[Class]],LEN(Table1[[#This Row],[Class]]) - FIND(".",Table1[[#This Row],[Class]])))</f>
        <v>1</v>
      </c>
    </row>
    <row r="182" spans="1:9" ht="21.6" x14ac:dyDescent="0.25">
      <c r="A182" s="10">
        <v>9201</v>
      </c>
      <c r="B182" s="91">
        <v>9.1999999999999993</v>
      </c>
      <c r="C182" s="96">
        <v>0.53333333333333333</v>
      </c>
      <c r="D182" s="96">
        <v>0.33333333333333326</v>
      </c>
      <c r="E182" s="96">
        <v>0.73333333333333328</v>
      </c>
      <c r="F182" s="96">
        <v>0.6</v>
      </c>
      <c r="G182" s="83" t="str">
        <f>IF(Table1[[#This Row],[I-E]]&gt;0.5,"I","E") &amp; IF(Table1[[#This Row],[S-N]]&gt;0.5,"S","N") &amp; IF(Table1[[#This Row],[T-F]]&gt;0.5,"T","F") &amp; IF(Table1[[#This Row],[J-P]]&gt;0.5,"J","P")</f>
        <v>INTJ</v>
      </c>
      <c r="H182" s="93">
        <f>VALUE(LEFT(Table1[[#This Row],[Class]], FIND(".",Table1[[#This Row],[Class]])-1))</f>
        <v>9</v>
      </c>
      <c r="I182" s="93">
        <f>VALUE(RIGHT(Table1[[#This Row],[Class]],LEN(Table1[[#This Row],[Class]]) - FIND(".",Table1[[#This Row],[Class]])))</f>
        <v>2</v>
      </c>
    </row>
    <row r="183" spans="1:9" ht="21.6" x14ac:dyDescent="0.25">
      <c r="A183" s="10">
        <v>9202</v>
      </c>
      <c r="B183" s="91">
        <v>9.1999999999999993</v>
      </c>
      <c r="C183" s="96">
        <v>0.66666666666666663</v>
      </c>
      <c r="D183" s="96">
        <v>0.6</v>
      </c>
      <c r="E183" s="96">
        <v>0.4</v>
      </c>
      <c r="F183" s="96">
        <v>0.4</v>
      </c>
      <c r="G183" s="83" t="str">
        <f>IF(Table1[[#This Row],[I-E]]&gt;0.5,"I","E") &amp; IF(Table1[[#This Row],[S-N]]&gt;0.5,"S","N") &amp; IF(Table1[[#This Row],[T-F]]&gt;0.5,"T","F") &amp; IF(Table1[[#This Row],[J-P]]&gt;0.5,"J","P")</f>
        <v>ISFP</v>
      </c>
      <c r="H183" s="93">
        <f>VALUE(LEFT(Table1[[#This Row],[Class]], FIND(".",Table1[[#This Row],[Class]])-1))</f>
        <v>9</v>
      </c>
      <c r="I183" s="93">
        <f>VALUE(RIGHT(Table1[[#This Row],[Class]],LEN(Table1[[#This Row],[Class]]) - FIND(".",Table1[[#This Row],[Class]])))</f>
        <v>2</v>
      </c>
    </row>
    <row r="184" spans="1:9" ht="21.6" x14ac:dyDescent="0.25">
      <c r="A184" s="10">
        <v>9203</v>
      </c>
      <c r="B184" s="91">
        <v>9.1999999999999993</v>
      </c>
      <c r="C184" s="96">
        <v>0.66666666666666663</v>
      </c>
      <c r="D184" s="96">
        <v>0.6</v>
      </c>
      <c r="E184" s="96">
        <v>0.4</v>
      </c>
      <c r="F184" s="96">
        <v>0.53333333333333333</v>
      </c>
      <c r="G184" s="83" t="str">
        <f>IF(Table1[[#This Row],[I-E]]&gt;0.5,"I","E") &amp; IF(Table1[[#This Row],[S-N]]&gt;0.5,"S","N") &amp; IF(Table1[[#This Row],[T-F]]&gt;0.5,"T","F") &amp; IF(Table1[[#This Row],[J-P]]&gt;0.5,"J","P")</f>
        <v>ISFJ</v>
      </c>
      <c r="H184" s="93">
        <f>VALUE(LEFT(Table1[[#This Row],[Class]], FIND(".",Table1[[#This Row],[Class]])-1))</f>
        <v>9</v>
      </c>
      <c r="I184" s="93">
        <f>VALUE(RIGHT(Table1[[#This Row],[Class]],LEN(Table1[[#This Row],[Class]]) - FIND(".",Table1[[#This Row],[Class]])))</f>
        <v>2</v>
      </c>
    </row>
    <row r="185" spans="1:9" ht="21.6" x14ac:dyDescent="0.25">
      <c r="A185" s="10">
        <v>9204</v>
      </c>
      <c r="B185" s="91">
        <v>9.1999999999999993</v>
      </c>
      <c r="C185" s="96">
        <v>0.8666666666666667</v>
      </c>
      <c r="D185" s="96">
        <v>0.46666666666666667</v>
      </c>
      <c r="E185" s="96">
        <v>0.73333333333333328</v>
      </c>
      <c r="F185" s="96">
        <v>0.6</v>
      </c>
      <c r="G185" s="83" t="str">
        <f>IF(Table1[[#This Row],[I-E]]&gt;0.5,"I","E") &amp; IF(Table1[[#This Row],[S-N]]&gt;0.5,"S","N") &amp; IF(Table1[[#This Row],[T-F]]&gt;0.5,"T","F") &amp; IF(Table1[[#This Row],[J-P]]&gt;0.5,"J","P")</f>
        <v>INTJ</v>
      </c>
      <c r="H185" s="93">
        <f>VALUE(LEFT(Table1[[#This Row],[Class]], FIND(".",Table1[[#This Row],[Class]])-1))</f>
        <v>9</v>
      </c>
      <c r="I185" s="93">
        <f>VALUE(RIGHT(Table1[[#This Row],[Class]],LEN(Table1[[#This Row],[Class]]) - FIND(".",Table1[[#This Row],[Class]])))</f>
        <v>2</v>
      </c>
    </row>
    <row r="186" spans="1:9" ht="21.6" x14ac:dyDescent="0.25">
      <c r="A186" s="10">
        <v>9205</v>
      </c>
      <c r="B186" s="91">
        <v>9.1999999999999993</v>
      </c>
      <c r="C186" s="96">
        <v>0.66666666666666663</v>
      </c>
      <c r="D186" s="96">
        <v>0.66666666666666663</v>
      </c>
      <c r="E186" s="96">
        <v>0.73333333333333328</v>
      </c>
      <c r="F186" s="96">
        <v>0.53333333333333333</v>
      </c>
      <c r="G186" s="83" t="str">
        <f>IF(Table1[[#This Row],[I-E]]&gt;0.5,"I","E") &amp; IF(Table1[[#This Row],[S-N]]&gt;0.5,"S","N") &amp; IF(Table1[[#This Row],[T-F]]&gt;0.5,"T","F") &amp; IF(Table1[[#This Row],[J-P]]&gt;0.5,"J","P")</f>
        <v>ISTJ</v>
      </c>
      <c r="H186" s="93">
        <f>VALUE(LEFT(Table1[[#This Row],[Class]], FIND(".",Table1[[#This Row],[Class]])-1))</f>
        <v>9</v>
      </c>
      <c r="I186" s="93">
        <f>VALUE(RIGHT(Table1[[#This Row],[Class]],LEN(Table1[[#This Row],[Class]]) - FIND(".",Table1[[#This Row],[Class]])))</f>
        <v>2</v>
      </c>
    </row>
    <row r="187" spans="1:9" ht="21.6" x14ac:dyDescent="0.25">
      <c r="A187" s="10">
        <v>9206</v>
      </c>
      <c r="B187" s="91">
        <v>9.1999999999999993</v>
      </c>
      <c r="C187" s="96">
        <v>0.4</v>
      </c>
      <c r="D187" s="96">
        <v>0.46666666666666667</v>
      </c>
      <c r="E187" s="96">
        <v>1</v>
      </c>
      <c r="F187" s="96">
        <v>0.46666666666666667</v>
      </c>
      <c r="G187" s="83" t="str">
        <f>IF(Table1[[#This Row],[I-E]]&gt;0.5,"I","E") &amp; IF(Table1[[#This Row],[S-N]]&gt;0.5,"S","N") &amp; IF(Table1[[#This Row],[T-F]]&gt;0.5,"T","F") &amp; IF(Table1[[#This Row],[J-P]]&gt;0.5,"J","P")</f>
        <v>ENTP</v>
      </c>
      <c r="H187" s="93">
        <f>VALUE(LEFT(Table1[[#This Row],[Class]], FIND(".",Table1[[#This Row],[Class]])-1))</f>
        <v>9</v>
      </c>
      <c r="I187" s="93">
        <f>VALUE(RIGHT(Table1[[#This Row],[Class]],LEN(Table1[[#This Row],[Class]]) - FIND(".",Table1[[#This Row],[Class]])))</f>
        <v>2</v>
      </c>
    </row>
    <row r="188" spans="1:9" ht="21.6" x14ac:dyDescent="0.25">
      <c r="A188" s="10">
        <v>9207</v>
      </c>
      <c r="B188" s="91">
        <v>9.1999999999999993</v>
      </c>
      <c r="C188" s="96">
        <v>0.53333333333333333</v>
      </c>
      <c r="D188" s="96">
        <v>0.4</v>
      </c>
      <c r="E188" s="96">
        <v>0.93333333333333335</v>
      </c>
      <c r="F188" s="96">
        <v>0.33333333333333326</v>
      </c>
      <c r="G188" s="83" t="str">
        <f>IF(Table1[[#This Row],[I-E]]&gt;0.5,"I","E") &amp; IF(Table1[[#This Row],[S-N]]&gt;0.5,"S","N") &amp; IF(Table1[[#This Row],[T-F]]&gt;0.5,"T","F") &amp; IF(Table1[[#This Row],[J-P]]&gt;0.5,"J","P")</f>
        <v>INTP</v>
      </c>
      <c r="H188" s="93">
        <f>VALUE(LEFT(Table1[[#This Row],[Class]], FIND(".",Table1[[#This Row],[Class]])-1))</f>
        <v>9</v>
      </c>
      <c r="I188" s="93">
        <f>VALUE(RIGHT(Table1[[#This Row],[Class]],LEN(Table1[[#This Row],[Class]]) - FIND(".",Table1[[#This Row],[Class]])))</f>
        <v>2</v>
      </c>
    </row>
    <row r="189" spans="1:9" ht="21.6" x14ac:dyDescent="0.25">
      <c r="A189" s="10">
        <v>9208</v>
      </c>
      <c r="B189" s="91">
        <v>9.1999999999999993</v>
      </c>
      <c r="C189" s="96">
        <v>0.8</v>
      </c>
      <c r="D189" s="96">
        <v>0.26666666666666661</v>
      </c>
      <c r="E189" s="96">
        <v>0.53333333333333333</v>
      </c>
      <c r="F189" s="96">
        <v>0.53333333333333333</v>
      </c>
      <c r="G189" s="83" t="str">
        <f>IF(Table1[[#This Row],[I-E]]&gt;0.5,"I","E") &amp; IF(Table1[[#This Row],[S-N]]&gt;0.5,"S","N") &amp; IF(Table1[[#This Row],[T-F]]&gt;0.5,"T","F") &amp; IF(Table1[[#This Row],[J-P]]&gt;0.5,"J","P")</f>
        <v>INTJ</v>
      </c>
      <c r="H189" s="93">
        <f>VALUE(LEFT(Table1[[#This Row],[Class]], FIND(".",Table1[[#This Row],[Class]])-1))</f>
        <v>9</v>
      </c>
      <c r="I189" s="93">
        <f>VALUE(RIGHT(Table1[[#This Row],[Class]],LEN(Table1[[#This Row],[Class]]) - FIND(".",Table1[[#This Row],[Class]])))</f>
        <v>2</v>
      </c>
    </row>
    <row r="190" spans="1:9" ht="21.6" x14ac:dyDescent="0.25">
      <c r="A190" s="10">
        <v>9209</v>
      </c>
      <c r="B190" s="91">
        <v>9.1999999999999993</v>
      </c>
      <c r="C190" s="96">
        <v>0.6</v>
      </c>
      <c r="D190" s="96">
        <v>0.53333333333333333</v>
      </c>
      <c r="E190" s="96">
        <v>0.93333333333333335</v>
      </c>
      <c r="F190" s="96">
        <v>0.4</v>
      </c>
      <c r="G190" s="83" t="str">
        <f>IF(Table1[[#This Row],[I-E]]&gt;0.5,"I","E") &amp; IF(Table1[[#This Row],[S-N]]&gt;0.5,"S","N") &amp; IF(Table1[[#This Row],[T-F]]&gt;0.5,"T","F") &amp; IF(Table1[[#This Row],[J-P]]&gt;0.5,"J","P")</f>
        <v>ISTP</v>
      </c>
      <c r="H190" s="93">
        <f>VALUE(LEFT(Table1[[#This Row],[Class]], FIND(".",Table1[[#This Row],[Class]])-1))</f>
        <v>9</v>
      </c>
      <c r="I190" s="93">
        <f>VALUE(RIGHT(Table1[[#This Row],[Class]],LEN(Table1[[#This Row],[Class]]) - FIND(".",Table1[[#This Row],[Class]])))</f>
        <v>2</v>
      </c>
    </row>
    <row r="191" spans="1:9" ht="21.6" x14ac:dyDescent="0.25">
      <c r="A191" s="10">
        <v>9210</v>
      </c>
      <c r="B191" s="91">
        <v>9.1999999999999993</v>
      </c>
      <c r="C191" s="96">
        <v>0.66666666666666663</v>
      </c>
      <c r="D191" s="96">
        <v>0.33333333333333326</v>
      </c>
      <c r="E191" s="96">
        <v>1</v>
      </c>
      <c r="F191" s="96">
        <v>0.66666666666666663</v>
      </c>
      <c r="G191" s="83" t="str">
        <f>IF(Table1[[#This Row],[I-E]]&gt;0.5,"I","E") &amp; IF(Table1[[#This Row],[S-N]]&gt;0.5,"S","N") &amp; IF(Table1[[#This Row],[T-F]]&gt;0.5,"T","F") &amp; IF(Table1[[#This Row],[J-P]]&gt;0.5,"J","P")</f>
        <v>INTJ</v>
      </c>
      <c r="H191" s="93">
        <f>VALUE(LEFT(Table1[[#This Row],[Class]], FIND(".",Table1[[#This Row],[Class]])-1))</f>
        <v>9</v>
      </c>
      <c r="I191" s="93">
        <f>VALUE(RIGHT(Table1[[#This Row],[Class]],LEN(Table1[[#This Row],[Class]]) - FIND(".",Table1[[#This Row],[Class]])))</f>
        <v>2</v>
      </c>
    </row>
    <row r="192" spans="1:9" ht="21.6" x14ac:dyDescent="0.25">
      <c r="A192" s="10">
        <v>9211</v>
      </c>
      <c r="B192" s="91">
        <v>9.1999999999999993</v>
      </c>
      <c r="C192" s="96">
        <v>0.73333333333333328</v>
      </c>
      <c r="D192" s="96">
        <v>0.53333333333333333</v>
      </c>
      <c r="E192" s="96">
        <v>0.6</v>
      </c>
      <c r="F192" s="96">
        <v>0.46666666666666667</v>
      </c>
      <c r="G192" s="83" t="str">
        <f>IF(Table1[[#This Row],[I-E]]&gt;0.5,"I","E") &amp; IF(Table1[[#This Row],[S-N]]&gt;0.5,"S","N") &amp; IF(Table1[[#This Row],[T-F]]&gt;0.5,"T","F") &amp; IF(Table1[[#This Row],[J-P]]&gt;0.5,"J","P")</f>
        <v>ISTP</v>
      </c>
      <c r="H192" s="93">
        <f>VALUE(LEFT(Table1[[#This Row],[Class]], FIND(".",Table1[[#This Row],[Class]])-1))</f>
        <v>9</v>
      </c>
      <c r="I192" s="93">
        <f>VALUE(RIGHT(Table1[[#This Row],[Class]],LEN(Table1[[#This Row],[Class]]) - FIND(".",Table1[[#This Row],[Class]])))</f>
        <v>2</v>
      </c>
    </row>
    <row r="193" spans="1:9" ht="21.6" x14ac:dyDescent="0.25">
      <c r="A193" s="10">
        <v>9212</v>
      </c>
      <c r="B193" s="91">
        <v>9.1999999999999993</v>
      </c>
      <c r="C193" s="96">
        <v>0.73333333333333328</v>
      </c>
      <c r="D193" s="96">
        <v>0.46666666666666667</v>
      </c>
      <c r="E193" s="96">
        <v>0.73333333333333328</v>
      </c>
      <c r="F193" s="96">
        <v>0.19999999999999996</v>
      </c>
      <c r="G193" s="83" t="str">
        <f>IF(Table1[[#This Row],[I-E]]&gt;0.5,"I","E") &amp; IF(Table1[[#This Row],[S-N]]&gt;0.5,"S","N") &amp; IF(Table1[[#This Row],[T-F]]&gt;0.5,"T","F") &amp; IF(Table1[[#This Row],[J-P]]&gt;0.5,"J","P")</f>
        <v>INTP</v>
      </c>
      <c r="H193" s="93">
        <f>VALUE(LEFT(Table1[[#This Row],[Class]], FIND(".",Table1[[#This Row],[Class]])-1))</f>
        <v>9</v>
      </c>
      <c r="I193" s="93">
        <f>VALUE(RIGHT(Table1[[#This Row],[Class]],LEN(Table1[[#This Row],[Class]]) - FIND(".",Table1[[#This Row],[Class]])))</f>
        <v>2</v>
      </c>
    </row>
    <row r="194" spans="1:9" ht="21.6" x14ac:dyDescent="0.25">
      <c r="A194" s="10">
        <v>9213</v>
      </c>
      <c r="B194" s="91">
        <v>9.1999999999999993</v>
      </c>
      <c r="C194" s="96">
        <v>0.66666666666666663</v>
      </c>
      <c r="D194" s="96">
        <v>0.33333333333333326</v>
      </c>
      <c r="E194" s="96">
        <v>0.53333333333333333</v>
      </c>
      <c r="F194" s="96">
        <v>0.46666666666666667</v>
      </c>
      <c r="G194" s="83" t="str">
        <f>IF(Table1[[#This Row],[I-E]]&gt;0.5,"I","E") &amp; IF(Table1[[#This Row],[S-N]]&gt;0.5,"S","N") &amp; IF(Table1[[#This Row],[T-F]]&gt;0.5,"T","F") &amp; IF(Table1[[#This Row],[J-P]]&gt;0.5,"J","P")</f>
        <v>INTP</v>
      </c>
      <c r="H194" s="93">
        <f>VALUE(LEFT(Table1[[#This Row],[Class]], FIND(".",Table1[[#This Row],[Class]])-1))</f>
        <v>9</v>
      </c>
      <c r="I194" s="93">
        <f>VALUE(RIGHT(Table1[[#This Row],[Class]],LEN(Table1[[#This Row],[Class]]) - FIND(".",Table1[[#This Row],[Class]])))</f>
        <v>2</v>
      </c>
    </row>
    <row r="195" spans="1:9" ht="21.6" x14ac:dyDescent="0.25">
      <c r="A195" s="10">
        <v>9214</v>
      </c>
      <c r="B195" s="91">
        <v>9.1999999999999993</v>
      </c>
      <c r="C195" s="96">
        <v>0.19999999999999996</v>
      </c>
      <c r="D195" s="96">
        <v>0.66666666666666663</v>
      </c>
      <c r="E195" s="96">
        <v>0.93333333333333335</v>
      </c>
      <c r="F195" s="96">
        <v>0.46666666666666667</v>
      </c>
      <c r="G195" s="83" t="str">
        <f>IF(Table1[[#This Row],[I-E]]&gt;0.5,"I","E") &amp; IF(Table1[[#This Row],[S-N]]&gt;0.5,"S","N") &amp; IF(Table1[[#This Row],[T-F]]&gt;0.5,"T","F") &amp; IF(Table1[[#This Row],[J-P]]&gt;0.5,"J","P")</f>
        <v>ESTP</v>
      </c>
      <c r="H195" s="93">
        <f>VALUE(LEFT(Table1[[#This Row],[Class]], FIND(".",Table1[[#This Row],[Class]])-1))</f>
        <v>9</v>
      </c>
      <c r="I195" s="93">
        <f>VALUE(RIGHT(Table1[[#This Row],[Class]],LEN(Table1[[#This Row],[Class]]) - FIND(".",Table1[[#This Row],[Class]])))</f>
        <v>2</v>
      </c>
    </row>
    <row r="196" spans="1:9" ht="21.6" x14ac:dyDescent="0.25">
      <c r="A196" s="10">
        <v>9215</v>
      </c>
      <c r="B196" s="91">
        <v>9.1999999999999993</v>
      </c>
      <c r="C196" s="96">
        <v>0.4</v>
      </c>
      <c r="D196" s="96">
        <v>0.26666666666666661</v>
      </c>
      <c r="E196" s="96">
        <v>0.73333333333333328</v>
      </c>
      <c r="F196" s="96">
        <v>0</v>
      </c>
      <c r="G196" s="83" t="str">
        <f>IF(Table1[[#This Row],[I-E]]&gt;0.5,"I","E") &amp; IF(Table1[[#This Row],[S-N]]&gt;0.5,"S","N") &amp; IF(Table1[[#This Row],[T-F]]&gt;0.5,"T","F") &amp; IF(Table1[[#This Row],[J-P]]&gt;0.5,"J","P")</f>
        <v>ENTP</v>
      </c>
      <c r="H196" s="93">
        <f>VALUE(LEFT(Table1[[#This Row],[Class]], FIND(".",Table1[[#This Row],[Class]])-1))</f>
        <v>9</v>
      </c>
      <c r="I196" s="93">
        <f>VALUE(RIGHT(Table1[[#This Row],[Class]],LEN(Table1[[#This Row],[Class]]) - FIND(".",Table1[[#This Row],[Class]])))</f>
        <v>2</v>
      </c>
    </row>
    <row r="197" spans="1:9" ht="21.6" x14ac:dyDescent="0.25">
      <c r="A197" s="10">
        <v>9216</v>
      </c>
      <c r="B197" s="91">
        <v>9.1999999999999993</v>
      </c>
      <c r="C197" s="96">
        <v>0.66666666666666663</v>
      </c>
      <c r="D197" s="96">
        <v>0.66666666666666663</v>
      </c>
      <c r="E197" s="96">
        <v>0.66666666666666663</v>
      </c>
      <c r="F197" s="96">
        <v>0.4</v>
      </c>
      <c r="G197" s="83" t="str">
        <f>IF(Table1[[#This Row],[I-E]]&gt;0.5,"I","E") &amp; IF(Table1[[#This Row],[S-N]]&gt;0.5,"S","N") &amp; IF(Table1[[#This Row],[T-F]]&gt;0.5,"T","F") &amp; IF(Table1[[#This Row],[J-P]]&gt;0.5,"J","P")</f>
        <v>ISTP</v>
      </c>
      <c r="H197" s="93">
        <f>VALUE(LEFT(Table1[[#This Row],[Class]], FIND(".",Table1[[#This Row],[Class]])-1))</f>
        <v>9</v>
      </c>
      <c r="I197" s="93">
        <f>VALUE(RIGHT(Table1[[#This Row],[Class]],LEN(Table1[[#This Row],[Class]]) - FIND(".",Table1[[#This Row],[Class]])))</f>
        <v>2</v>
      </c>
    </row>
    <row r="198" spans="1:9" ht="21.6" x14ac:dyDescent="0.25">
      <c r="A198" s="10">
        <v>9217</v>
      </c>
      <c r="B198" s="91">
        <v>9.1999999999999993</v>
      </c>
      <c r="C198" s="96">
        <v>0.66666666666666663</v>
      </c>
      <c r="D198" s="96">
        <v>0.6</v>
      </c>
      <c r="E198" s="96">
        <v>1</v>
      </c>
      <c r="F198" s="96">
        <v>0.53333333333333333</v>
      </c>
      <c r="G198" s="83" t="str">
        <f>IF(Table1[[#This Row],[I-E]]&gt;0.5,"I","E") &amp; IF(Table1[[#This Row],[S-N]]&gt;0.5,"S","N") &amp; IF(Table1[[#This Row],[T-F]]&gt;0.5,"T","F") &amp; IF(Table1[[#This Row],[J-P]]&gt;0.5,"J","P")</f>
        <v>ISTJ</v>
      </c>
      <c r="H198" s="93">
        <f>VALUE(LEFT(Table1[[#This Row],[Class]], FIND(".",Table1[[#This Row],[Class]])-1))</f>
        <v>9</v>
      </c>
      <c r="I198" s="93">
        <f>VALUE(RIGHT(Table1[[#This Row],[Class]],LEN(Table1[[#This Row],[Class]]) - FIND(".",Table1[[#This Row],[Class]])))</f>
        <v>2</v>
      </c>
    </row>
    <row r="199" spans="1:9" ht="21.6" x14ac:dyDescent="0.25">
      <c r="A199" s="10">
        <v>9218</v>
      </c>
      <c r="B199" s="91">
        <v>9.1999999999999993</v>
      </c>
      <c r="C199" s="96">
        <v>0.46666666666666667</v>
      </c>
      <c r="D199" s="96">
        <v>0.4</v>
      </c>
      <c r="E199" s="96">
        <v>0.8</v>
      </c>
      <c r="F199" s="96">
        <v>0.8666666666666667</v>
      </c>
      <c r="G199" s="83" t="str">
        <f>IF(Table1[[#This Row],[I-E]]&gt;0.5,"I","E") &amp; IF(Table1[[#This Row],[S-N]]&gt;0.5,"S","N") &amp; IF(Table1[[#This Row],[T-F]]&gt;0.5,"T","F") &amp; IF(Table1[[#This Row],[J-P]]&gt;0.5,"J","P")</f>
        <v>ENTJ</v>
      </c>
      <c r="H199" s="93">
        <f>VALUE(LEFT(Table1[[#This Row],[Class]], FIND(".",Table1[[#This Row],[Class]])-1))</f>
        <v>9</v>
      </c>
      <c r="I199" s="93">
        <f>VALUE(RIGHT(Table1[[#This Row],[Class]],LEN(Table1[[#This Row],[Class]]) - FIND(".",Table1[[#This Row],[Class]])))</f>
        <v>2</v>
      </c>
    </row>
    <row r="200" spans="1:9" ht="21.6" x14ac:dyDescent="0.25">
      <c r="A200" s="10">
        <v>9219</v>
      </c>
      <c r="B200" s="91">
        <v>9.1999999999999993</v>
      </c>
      <c r="C200" s="96">
        <v>0.53333333333333333</v>
      </c>
      <c r="D200" s="96">
        <v>0.26666666666666661</v>
      </c>
      <c r="E200" s="96">
        <v>0.53333333333333333</v>
      </c>
      <c r="F200" s="96">
        <v>6.6666666666666652E-2</v>
      </c>
      <c r="G200" s="83" t="str">
        <f>IF(Table1[[#This Row],[I-E]]&gt;0.5,"I","E") &amp; IF(Table1[[#This Row],[S-N]]&gt;0.5,"S","N") &amp; IF(Table1[[#This Row],[T-F]]&gt;0.5,"T","F") &amp; IF(Table1[[#This Row],[J-P]]&gt;0.5,"J","P")</f>
        <v>INTP</v>
      </c>
      <c r="H200" s="93">
        <f>VALUE(LEFT(Table1[[#This Row],[Class]], FIND(".",Table1[[#This Row],[Class]])-1))</f>
        <v>9</v>
      </c>
      <c r="I200" s="93">
        <f>VALUE(RIGHT(Table1[[#This Row],[Class]],LEN(Table1[[#This Row],[Class]]) - FIND(".",Table1[[#This Row],[Class]])))</f>
        <v>2</v>
      </c>
    </row>
    <row r="201" spans="1:9" ht="21.6" x14ac:dyDescent="0.25">
      <c r="A201" s="10">
        <v>9220</v>
      </c>
      <c r="B201" s="91">
        <v>9.1999999999999993</v>
      </c>
      <c r="C201" s="96">
        <v>0.66666666666666663</v>
      </c>
      <c r="D201" s="96">
        <v>0.19999999999999996</v>
      </c>
      <c r="E201" s="96">
        <v>0.46666666666666667</v>
      </c>
      <c r="F201" s="96">
        <v>6.6666666666666652E-2</v>
      </c>
      <c r="G201" s="83" t="str">
        <f>IF(Table1[[#This Row],[I-E]]&gt;0.5,"I","E") &amp; IF(Table1[[#This Row],[S-N]]&gt;0.5,"S","N") &amp; IF(Table1[[#This Row],[T-F]]&gt;0.5,"T","F") &amp; IF(Table1[[#This Row],[J-P]]&gt;0.5,"J","P")</f>
        <v>INFP</v>
      </c>
      <c r="H201" s="93">
        <f>VALUE(LEFT(Table1[[#This Row],[Class]], FIND(".",Table1[[#This Row],[Class]])-1))</f>
        <v>9</v>
      </c>
      <c r="I201" s="93">
        <f>VALUE(RIGHT(Table1[[#This Row],[Class]],LEN(Table1[[#This Row],[Class]]) - FIND(".",Table1[[#This Row],[Class]])))</f>
        <v>2</v>
      </c>
    </row>
    <row r="202" spans="1:9" ht="21.6" x14ac:dyDescent="0.25">
      <c r="A202" s="10">
        <v>9221</v>
      </c>
      <c r="B202" s="91">
        <v>9.1999999999999993</v>
      </c>
      <c r="C202" s="96">
        <v>0.33333333333333326</v>
      </c>
      <c r="D202" s="96">
        <v>0.6</v>
      </c>
      <c r="E202" s="96">
        <v>0.46666666666666667</v>
      </c>
      <c r="F202" s="96">
        <v>0.1333333333333333</v>
      </c>
      <c r="G202" s="83" t="str">
        <f>IF(Table1[[#This Row],[I-E]]&gt;0.5,"I","E") &amp; IF(Table1[[#This Row],[S-N]]&gt;0.5,"S","N") &amp; IF(Table1[[#This Row],[T-F]]&gt;0.5,"T","F") &amp; IF(Table1[[#This Row],[J-P]]&gt;0.5,"J","P")</f>
        <v>ESFP</v>
      </c>
      <c r="H202" s="93">
        <f>VALUE(LEFT(Table1[[#This Row],[Class]], FIND(".",Table1[[#This Row],[Class]])-1))</f>
        <v>9</v>
      </c>
      <c r="I202" s="93">
        <f>VALUE(RIGHT(Table1[[#This Row],[Class]],LEN(Table1[[#This Row],[Class]]) - FIND(".",Table1[[#This Row],[Class]])))</f>
        <v>2</v>
      </c>
    </row>
    <row r="203" spans="1:9" ht="21.6" x14ac:dyDescent="0.25">
      <c r="A203" s="10">
        <v>9222</v>
      </c>
      <c r="B203" s="91">
        <v>9.1999999999999993</v>
      </c>
      <c r="C203" s="96">
        <v>0.66666666666666663</v>
      </c>
      <c r="D203" s="96">
        <v>0.4</v>
      </c>
      <c r="E203" s="96">
        <v>0.8</v>
      </c>
      <c r="F203" s="96">
        <v>0.66666666666666663</v>
      </c>
      <c r="G203" s="83" t="str">
        <f>IF(Table1[[#This Row],[I-E]]&gt;0.5,"I","E") &amp; IF(Table1[[#This Row],[S-N]]&gt;0.5,"S","N") &amp; IF(Table1[[#This Row],[T-F]]&gt;0.5,"T","F") &amp; IF(Table1[[#This Row],[J-P]]&gt;0.5,"J","P")</f>
        <v>INTJ</v>
      </c>
      <c r="H203" s="93">
        <f>VALUE(LEFT(Table1[[#This Row],[Class]], FIND(".",Table1[[#This Row],[Class]])-1))</f>
        <v>9</v>
      </c>
      <c r="I203" s="93">
        <f>VALUE(RIGHT(Table1[[#This Row],[Class]],LEN(Table1[[#This Row],[Class]]) - FIND(".",Table1[[#This Row],[Class]])))</f>
        <v>2</v>
      </c>
    </row>
    <row r="204" spans="1:9" ht="21.6" x14ac:dyDescent="0.25">
      <c r="A204" s="10">
        <v>9223</v>
      </c>
      <c r="B204" s="91">
        <v>9.1999999999999993</v>
      </c>
      <c r="C204" s="96">
        <v>0.6</v>
      </c>
      <c r="D204" s="96">
        <v>0.19999999999999996</v>
      </c>
      <c r="E204" s="96">
        <v>0.73333333333333328</v>
      </c>
      <c r="F204" s="96">
        <v>0.6</v>
      </c>
      <c r="G204" s="83" t="str">
        <f>IF(Table1[[#This Row],[I-E]]&gt;0.5,"I","E") &amp; IF(Table1[[#This Row],[S-N]]&gt;0.5,"S","N") &amp; IF(Table1[[#This Row],[T-F]]&gt;0.5,"T","F") &amp; IF(Table1[[#This Row],[J-P]]&gt;0.5,"J","P")</f>
        <v>INTJ</v>
      </c>
      <c r="H204" s="93">
        <f>VALUE(LEFT(Table1[[#This Row],[Class]], FIND(".",Table1[[#This Row],[Class]])-1))</f>
        <v>9</v>
      </c>
      <c r="I204" s="93">
        <f>VALUE(RIGHT(Table1[[#This Row],[Class]],LEN(Table1[[#This Row],[Class]]) - FIND(".",Table1[[#This Row],[Class]])))</f>
        <v>2</v>
      </c>
    </row>
    <row r="205" spans="1:9" ht="21.6" x14ac:dyDescent="0.25">
      <c r="A205" s="10">
        <v>9224</v>
      </c>
      <c r="B205" s="91">
        <v>9.1999999999999993</v>
      </c>
      <c r="C205" s="96">
        <v>0.46666666666666667</v>
      </c>
      <c r="D205" s="96">
        <v>0.19999999999999996</v>
      </c>
      <c r="E205" s="96">
        <v>1</v>
      </c>
      <c r="F205" s="96">
        <v>0.4</v>
      </c>
      <c r="G205" s="83" t="str">
        <f>IF(Table1[[#This Row],[I-E]]&gt;0.5,"I","E") &amp; IF(Table1[[#This Row],[S-N]]&gt;0.5,"S","N") &amp; IF(Table1[[#This Row],[T-F]]&gt;0.5,"T","F") &amp; IF(Table1[[#This Row],[J-P]]&gt;0.5,"J","P")</f>
        <v>ENTP</v>
      </c>
      <c r="H205" s="93">
        <f>VALUE(LEFT(Table1[[#This Row],[Class]], FIND(".",Table1[[#This Row],[Class]])-1))</f>
        <v>9</v>
      </c>
      <c r="I205" s="93">
        <f>VALUE(RIGHT(Table1[[#This Row],[Class]],LEN(Table1[[#This Row],[Class]]) - FIND(".",Table1[[#This Row],[Class]])))</f>
        <v>2</v>
      </c>
    </row>
    <row r="206" spans="1:9" ht="21.6" x14ac:dyDescent="0.25">
      <c r="A206" s="10">
        <v>9225</v>
      </c>
      <c r="B206" s="91">
        <v>9.1999999999999993</v>
      </c>
      <c r="C206" s="96">
        <v>0.53333333333333333</v>
      </c>
      <c r="D206" s="96">
        <v>0.46666666666666667</v>
      </c>
      <c r="E206" s="96">
        <v>0.93333333333333335</v>
      </c>
      <c r="F206" s="96">
        <v>0.53333333333333333</v>
      </c>
      <c r="G206" s="83" t="str">
        <f>IF(Table1[[#This Row],[I-E]]&gt;0.5,"I","E") &amp; IF(Table1[[#This Row],[S-N]]&gt;0.5,"S","N") &amp; IF(Table1[[#This Row],[T-F]]&gt;0.5,"T","F") &amp; IF(Table1[[#This Row],[J-P]]&gt;0.5,"J","P")</f>
        <v>INTJ</v>
      </c>
      <c r="H206" s="93">
        <f>VALUE(LEFT(Table1[[#This Row],[Class]], FIND(".",Table1[[#This Row],[Class]])-1))</f>
        <v>9</v>
      </c>
      <c r="I206" s="93">
        <f>VALUE(RIGHT(Table1[[#This Row],[Class]],LEN(Table1[[#This Row],[Class]]) - FIND(".",Table1[[#This Row],[Class]])))</f>
        <v>2</v>
      </c>
    </row>
    <row r="207" spans="1:9" ht="21.6" x14ac:dyDescent="0.25">
      <c r="A207" s="10">
        <v>9226</v>
      </c>
      <c r="B207" s="91">
        <v>9.1999999999999993</v>
      </c>
      <c r="C207" s="96">
        <v>0.53333333333333333</v>
      </c>
      <c r="D207" s="96">
        <v>0.66666666666666663</v>
      </c>
      <c r="E207" s="96">
        <v>1</v>
      </c>
      <c r="F207" s="96">
        <v>0.8</v>
      </c>
      <c r="G207" s="83" t="str">
        <f>IF(Table1[[#This Row],[I-E]]&gt;0.5,"I","E") &amp; IF(Table1[[#This Row],[S-N]]&gt;0.5,"S","N") &amp; IF(Table1[[#This Row],[T-F]]&gt;0.5,"T","F") &amp; IF(Table1[[#This Row],[J-P]]&gt;0.5,"J","P")</f>
        <v>ISTJ</v>
      </c>
      <c r="H207" s="93">
        <f>VALUE(LEFT(Table1[[#This Row],[Class]], FIND(".",Table1[[#This Row],[Class]])-1))</f>
        <v>9</v>
      </c>
      <c r="I207" s="93">
        <f>VALUE(RIGHT(Table1[[#This Row],[Class]],LEN(Table1[[#This Row],[Class]]) - FIND(".",Table1[[#This Row],[Class]])))</f>
        <v>2</v>
      </c>
    </row>
    <row r="208" spans="1:9" ht="21.6" x14ac:dyDescent="0.25">
      <c r="A208" s="10">
        <v>9227</v>
      </c>
      <c r="B208" s="91">
        <v>9.1999999999999993</v>
      </c>
      <c r="C208" s="96">
        <v>0.73333333333333328</v>
      </c>
      <c r="D208" s="96">
        <v>0.26666666666666661</v>
      </c>
      <c r="E208" s="96">
        <v>1</v>
      </c>
      <c r="F208" s="96">
        <v>0.26666666666666661</v>
      </c>
      <c r="G208" s="83" t="str">
        <f>IF(Table1[[#This Row],[I-E]]&gt;0.5,"I","E") &amp; IF(Table1[[#This Row],[S-N]]&gt;0.5,"S","N") &amp; IF(Table1[[#This Row],[T-F]]&gt;0.5,"T","F") &amp; IF(Table1[[#This Row],[J-P]]&gt;0.5,"J","P")</f>
        <v>INTP</v>
      </c>
      <c r="H208" s="93">
        <f>VALUE(LEFT(Table1[[#This Row],[Class]], FIND(".",Table1[[#This Row],[Class]])-1))</f>
        <v>9</v>
      </c>
      <c r="I208" s="93">
        <f>VALUE(RIGHT(Table1[[#This Row],[Class]],LEN(Table1[[#This Row],[Class]]) - FIND(".",Table1[[#This Row],[Class]])))</f>
        <v>2</v>
      </c>
    </row>
    <row r="209" spans="1:9" ht="21.6" x14ac:dyDescent="0.25">
      <c r="A209" s="10">
        <v>9228</v>
      </c>
      <c r="B209" s="91">
        <v>9.1999999999999993</v>
      </c>
      <c r="C209" s="96">
        <v>0.53333333333333333</v>
      </c>
      <c r="D209" s="96">
        <v>0.33333333333333326</v>
      </c>
      <c r="E209" s="96">
        <v>1</v>
      </c>
      <c r="F209" s="96">
        <v>0.6</v>
      </c>
      <c r="G209" s="83" t="str">
        <f>IF(Table1[[#This Row],[I-E]]&gt;0.5,"I","E") &amp; IF(Table1[[#This Row],[S-N]]&gt;0.5,"S","N") &amp; IF(Table1[[#This Row],[T-F]]&gt;0.5,"T","F") &amp; IF(Table1[[#This Row],[J-P]]&gt;0.5,"J","P")</f>
        <v>INTJ</v>
      </c>
      <c r="H209" s="93">
        <f>VALUE(LEFT(Table1[[#This Row],[Class]], FIND(".",Table1[[#This Row],[Class]])-1))</f>
        <v>9</v>
      </c>
      <c r="I209" s="93">
        <f>VALUE(RIGHT(Table1[[#This Row],[Class]],LEN(Table1[[#This Row],[Class]]) - FIND(".",Table1[[#This Row],[Class]])))</f>
        <v>2</v>
      </c>
    </row>
    <row r="210" spans="1:9" ht="21.6" x14ac:dyDescent="0.25">
      <c r="A210" s="10">
        <v>9229</v>
      </c>
      <c r="B210" s="91">
        <v>9.1999999999999993</v>
      </c>
      <c r="C210" s="96">
        <v>0.26666666666666661</v>
      </c>
      <c r="D210" s="96">
        <v>0.53333333333333333</v>
      </c>
      <c r="E210" s="96">
        <v>0.8666666666666667</v>
      </c>
      <c r="F210" s="96">
        <v>0.46666666666666667</v>
      </c>
      <c r="G210" s="83" t="str">
        <f>IF(Table1[[#This Row],[I-E]]&gt;0.5,"I","E") &amp; IF(Table1[[#This Row],[S-N]]&gt;0.5,"S","N") &amp; IF(Table1[[#This Row],[T-F]]&gt;0.5,"T","F") &amp; IF(Table1[[#This Row],[J-P]]&gt;0.5,"J","P")</f>
        <v>ESTP</v>
      </c>
      <c r="H210" s="93">
        <f>VALUE(LEFT(Table1[[#This Row],[Class]], FIND(".",Table1[[#This Row],[Class]])-1))</f>
        <v>9</v>
      </c>
      <c r="I210" s="93">
        <f>VALUE(RIGHT(Table1[[#This Row],[Class]],LEN(Table1[[#This Row],[Class]]) - FIND(".",Table1[[#This Row],[Class]])))</f>
        <v>2</v>
      </c>
    </row>
    <row r="211" spans="1:9" ht="21.6" x14ac:dyDescent="0.25">
      <c r="A211" s="10">
        <v>9230</v>
      </c>
      <c r="B211" s="91">
        <v>9.1999999999999993</v>
      </c>
      <c r="C211" s="96">
        <v>0.33333333333333326</v>
      </c>
      <c r="D211" s="96">
        <v>0.33333333333333326</v>
      </c>
      <c r="E211" s="96">
        <v>0.66666666666666663</v>
      </c>
      <c r="F211" s="96">
        <v>0.53333333333333333</v>
      </c>
      <c r="G211" s="83" t="str">
        <f>IF(Table1[[#This Row],[I-E]]&gt;0.5,"I","E") &amp; IF(Table1[[#This Row],[S-N]]&gt;0.5,"S","N") &amp; IF(Table1[[#This Row],[T-F]]&gt;0.5,"T","F") &amp; IF(Table1[[#This Row],[J-P]]&gt;0.5,"J","P")</f>
        <v>ENTJ</v>
      </c>
      <c r="H211" s="93">
        <f>VALUE(LEFT(Table1[[#This Row],[Class]], FIND(".",Table1[[#This Row],[Class]])-1))</f>
        <v>9</v>
      </c>
      <c r="I211" s="93">
        <f>VALUE(RIGHT(Table1[[#This Row],[Class]],LEN(Table1[[#This Row],[Class]]) - FIND(".",Table1[[#This Row],[Class]])))</f>
        <v>2</v>
      </c>
    </row>
    <row r="212" spans="1:9" ht="21.6" x14ac:dyDescent="0.25">
      <c r="A212" s="10">
        <v>9231</v>
      </c>
      <c r="B212" s="91">
        <v>9.1999999999999993</v>
      </c>
      <c r="C212" s="96">
        <v>0.46666666666666667</v>
      </c>
      <c r="D212" s="96">
        <v>0.66666666666666663</v>
      </c>
      <c r="E212" s="96">
        <v>0.53333333333333333</v>
      </c>
      <c r="F212" s="96">
        <v>0.1333333333333333</v>
      </c>
      <c r="G212" s="83" t="str">
        <f>IF(Table1[[#This Row],[I-E]]&gt;0.5,"I","E") &amp; IF(Table1[[#This Row],[S-N]]&gt;0.5,"S","N") &amp; IF(Table1[[#This Row],[T-F]]&gt;0.5,"T","F") &amp; IF(Table1[[#This Row],[J-P]]&gt;0.5,"J","P")</f>
        <v>ESTP</v>
      </c>
      <c r="H212" s="93">
        <f>VALUE(LEFT(Table1[[#This Row],[Class]], FIND(".",Table1[[#This Row],[Class]])-1))</f>
        <v>9</v>
      </c>
      <c r="I212" s="93">
        <f>VALUE(RIGHT(Table1[[#This Row],[Class]],LEN(Table1[[#This Row],[Class]]) - FIND(".",Table1[[#This Row],[Class]])))</f>
        <v>2</v>
      </c>
    </row>
    <row r="213" spans="1:9" ht="21.6" x14ac:dyDescent="0.25">
      <c r="A213" s="10">
        <v>9232</v>
      </c>
      <c r="B213" s="91">
        <v>9.1999999999999993</v>
      </c>
      <c r="C213" s="96">
        <v>0.46666666666666667</v>
      </c>
      <c r="D213" s="96">
        <v>0.8</v>
      </c>
      <c r="E213" s="96">
        <v>0.6</v>
      </c>
      <c r="F213" s="96">
        <v>1</v>
      </c>
      <c r="G213" s="83" t="str">
        <f>IF(Table1[[#This Row],[I-E]]&gt;0.5,"I","E") &amp; IF(Table1[[#This Row],[S-N]]&gt;0.5,"S","N") &amp; IF(Table1[[#This Row],[T-F]]&gt;0.5,"T","F") &amp; IF(Table1[[#This Row],[J-P]]&gt;0.5,"J","P")</f>
        <v>ESTJ</v>
      </c>
      <c r="H213" s="93">
        <f>VALUE(LEFT(Table1[[#This Row],[Class]], FIND(".",Table1[[#This Row],[Class]])-1))</f>
        <v>9</v>
      </c>
      <c r="I213" s="93">
        <f>VALUE(RIGHT(Table1[[#This Row],[Class]],LEN(Table1[[#This Row],[Class]]) - FIND(".",Table1[[#This Row],[Class]])))</f>
        <v>2</v>
      </c>
    </row>
    <row r="214" spans="1:9" ht="21.6" x14ac:dyDescent="0.25">
      <c r="A214" s="10">
        <v>9233</v>
      </c>
      <c r="B214" s="91">
        <v>9.1999999999999993</v>
      </c>
      <c r="C214" s="96">
        <v>0.73333333333333328</v>
      </c>
      <c r="D214" s="96">
        <v>0.26666666666666661</v>
      </c>
      <c r="E214" s="96">
        <v>0.53333333333333333</v>
      </c>
      <c r="F214" s="96">
        <v>0.53333333333333333</v>
      </c>
      <c r="G214" s="83" t="str">
        <f>IF(Table1[[#This Row],[I-E]]&gt;0.5,"I","E") &amp; IF(Table1[[#This Row],[S-N]]&gt;0.5,"S","N") &amp; IF(Table1[[#This Row],[T-F]]&gt;0.5,"T","F") &amp; IF(Table1[[#This Row],[J-P]]&gt;0.5,"J","P")</f>
        <v>INTJ</v>
      </c>
      <c r="H214" s="93">
        <f>VALUE(LEFT(Table1[[#This Row],[Class]], FIND(".",Table1[[#This Row],[Class]])-1))</f>
        <v>9</v>
      </c>
      <c r="I214" s="93">
        <f>VALUE(RIGHT(Table1[[#This Row],[Class]],LEN(Table1[[#This Row],[Class]]) - FIND(".",Table1[[#This Row],[Class]])))</f>
        <v>2</v>
      </c>
    </row>
    <row r="215" spans="1:9" ht="21.6" x14ac:dyDescent="0.25">
      <c r="A215" s="10">
        <v>9234</v>
      </c>
      <c r="B215" s="91">
        <v>9.1999999999999993</v>
      </c>
      <c r="C215" s="96">
        <v>0.33333333333333326</v>
      </c>
      <c r="D215" s="96">
        <v>1</v>
      </c>
      <c r="E215" s="96">
        <v>0.53333333333333333</v>
      </c>
      <c r="F215" s="96">
        <v>0.66666666666666663</v>
      </c>
      <c r="G215" s="83" t="str">
        <f>IF(Table1[[#This Row],[I-E]]&gt;0.5,"I","E") &amp; IF(Table1[[#This Row],[S-N]]&gt;0.5,"S","N") &amp; IF(Table1[[#This Row],[T-F]]&gt;0.5,"T","F") &amp; IF(Table1[[#This Row],[J-P]]&gt;0.5,"J","P")</f>
        <v>ESTJ</v>
      </c>
      <c r="H215" s="93">
        <f>VALUE(LEFT(Table1[[#This Row],[Class]], FIND(".",Table1[[#This Row],[Class]])-1))</f>
        <v>9</v>
      </c>
      <c r="I215" s="93">
        <f>VALUE(RIGHT(Table1[[#This Row],[Class]],LEN(Table1[[#This Row],[Class]]) - FIND(".",Table1[[#This Row],[Class]])))</f>
        <v>2</v>
      </c>
    </row>
    <row r="216" spans="1:9" ht="21.6" x14ac:dyDescent="0.25">
      <c r="A216" s="10">
        <v>10101</v>
      </c>
      <c r="B216" s="91">
        <v>10.1</v>
      </c>
      <c r="C216" s="96">
        <v>0.53333333333333333</v>
      </c>
      <c r="D216" s="96">
        <v>0.33333333333333326</v>
      </c>
      <c r="E216" s="96">
        <v>0.66666666666666663</v>
      </c>
      <c r="F216" s="96">
        <v>0.6</v>
      </c>
      <c r="G216" s="83" t="str">
        <f>IF(Table1[[#This Row],[I-E]]&gt;0.5,"I","E") &amp; IF(Table1[[#This Row],[S-N]]&gt;0.5,"S","N") &amp; IF(Table1[[#This Row],[T-F]]&gt;0.5,"T","F") &amp; IF(Table1[[#This Row],[J-P]]&gt;0.5,"J","P")</f>
        <v>INTJ</v>
      </c>
      <c r="H216" s="93">
        <f>VALUE(LEFT(Table1[[#This Row],[Class]], FIND(".",Table1[[#This Row],[Class]])-1))</f>
        <v>10</v>
      </c>
      <c r="I216" s="93">
        <f>VALUE(RIGHT(Table1[[#This Row],[Class]],LEN(Table1[[#This Row],[Class]]) - FIND(".",Table1[[#This Row],[Class]])))</f>
        <v>1</v>
      </c>
    </row>
    <row r="217" spans="1:9" ht="21.6" x14ac:dyDescent="0.25">
      <c r="A217" s="10">
        <v>10102</v>
      </c>
      <c r="B217" s="91">
        <v>10.1</v>
      </c>
      <c r="C217" s="96">
        <v>0.46666666666666667</v>
      </c>
      <c r="D217" s="96">
        <v>0.66666666666666663</v>
      </c>
      <c r="E217" s="96">
        <v>0.6</v>
      </c>
      <c r="F217" s="96">
        <v>0.4</v>
      </c>
      <c r="G217" s="83" t="str">
        <f>IF(Table1[[#This Row],[I-E]]&gt;0.5,"I","E") &amp; IF(Table1[[#This Row],[S-N]]&gt;0.5,"S","N") &amp; IF(Table1[[#This Row],[T-F]]&gt;0.5,"T","F") &amp; IF(Table1[[#This Row],[J-P]]&gt;0.5,"J","P")</f>
        <v>ESTP</v>
      </c>
      <c r="H217" s="93">
        <f>VALUE(LEFT(Table1[[#This Row],[Class]], FIND(".",Table1[[#This Row],[Class]])-1))</f>
        <v>10</v>
      </c>
      <c r="I217" s="93">
        <f>VALUE(RIGHT(Table1[[#This Row],[Class]],LEN(Table1[[#This Row],[Class]]) - FIND(".",Table1[[#This Row],[Class]])))</f>
        <v>1</v>
      </c>
    </row>
    <row r="218" spans="1:9" ht="21.6" x14ac:dyDescent="0.25">
      <c r="A218" s="10">
        <v>10103</v>
      </c>
      <c r="B218" s="91">
        <v>10.1</v>
      </c>
      <c r="C218" s="96">
        <v>0.66666666666666663</v>
      </c>
      <c r="D218" s="96">
        <v>0.66666666666666663</v>
      </c>
      <c r="E218" s="96">
        <v>0.8666666666666667</v>
      </c>
      <c r="F218" s="96">
        <v>0.46666666666666667</v>
      </c>
      <c r="G218" s="83" t="str">
        <f>IF(Table1[[#This Row],[I-E]]&gt;0.5,"I","E") &amp; IF(Table1[[#This Row],[S-N]]&gt;0.5,"S","N") &amp; IF(Table1[[#This Row],[T-F]]&gt;0.5,"T","F") &amp; IF(Table1[[#This Row],[J-P]]&gt;0.5,"J","P")</f>
        <v>ISTP</v>
      </c>
      <c r="H218" s="93">
        <f>VALUE(LEFT(Table1[[#This Row],[Class]], FIND(".",Table1[[#This Row],[Class]])-1))</f>
        <v>10</v>
      </c>
      <c r="I218" s="93">
        <f>VALUE(RIGHT(Table1[[#This Row],[Class]],LEN(Table1[[#This Row],[Class]]) - FIND(".",Table1[[#This Row],[Class]])))</f>
        <v>1</v>
      </c>
    </row>
    <row r="219" spans="1:9" ht="21.6" x14ac:dyDescent="0.25">
      <c r="A219" s="10">
        <v>10104</v>
      </c>
      <c r="B219" s="91">
        <v>10.1</v>
      </c>
      <c r="C219" s="96">
        <v>0.6</v>
      </c>
      <c r="D219" s="96">
        <v>0.4</v>
      </c>
      <c r="E219" s="96">
        <v>0.93333333333333335</v>
      </c>
      <c r="F219" s="96">
        <v>0.53333333333333333</v>
      </c>
      <c r="G219" s="83" t="str">
        <f>IF(Table1[[#This Row],[I-E]]&gt;0.5,"I","E") &amp; IF(Table1[[#This Row],[S-N]]&gt;0.5,"S","N") &amp; IF(Table1[[#This Row],[T-F]]&gt;0.5,"T","F") &amp; IF(Table1[[#This Row],[J-P]]&gt;0.5,"J","P")</f>
        <v>INTJ</v>
      </c>
      <c r="H219" s="93">
        <f>VALUE(LEFT(Table1[[#This Row],[Class]], FIND(".",Table1[[#This Row],[Class]])-1))</f>
        <v>10</v>
      </c>
      <c r="I219" s="93">
        <f>VALUE(RIGHT(Table1[[#This Row],[Class]],LEN(Table1[[#This Row],[Class]]) - FIND(".",Table1[[#This Row],[Class]])))</f>
        <v>1</v>
      </c>
    </row>
    <row r="220" spans="1:9" ht="21.6" x14ac:dyDescent="0.25">
      <c r="A220" s="10">
        <v>10105</v>
      </c>
      <c r="B220" s="91">
        <v>10.1</v>
      </c>
      <c r="C220" s="96">
        <v>0.6</v>
      </c>
      <c r="D220" s="96">
        <v>0.6</v>
      </c>
      <c r="E220" s="96">
        <v>0.53333333333333333</v>
      </c>
      <c r="F220" s="96">
        <v>0.46666666666666667</v>
      </c>
      <c r="G220" s="83" t="str">
        <f>IF(Table1[[#This Row],[I-E]]&gt;0.5,"I","E") &amp; IF(Table1[[#This Row],[S-N]]&gt;0.5,"S","N") &amp; IF(Table1[[#This Row],[T-F]]&gt;0.5,"T","F") &amp; IF(Table1[[#This Row],[J-P]]&gt;0.5,"J","P")</f>
        <v>ISTP</v>
      </c>
      <c r="H220" s="93">
        <f>VALUE(LEFT(Table1[[#This Row],[Class]], FIND(".",Table1[[#This Row],[Class]])-1))</f>
        <v>10</v>
      </c>
      <c r="I220" s="93">
        <f>VALUE(RIGHT(Table1[[#This Row],[Class]],LEN(Table1[[#This Row],[Class]]) - FIND(".",Table1[[#This Row],[Class]])))</f>
        <v>1</v>
      </c>
    </row>
    <row r="221" spans="1:9" ht="21.6" x14ac:dyDescent="0.25">
      <c r="A221" s="10">
        <v>10106</v>
      </c>
      <c r="B221" s="91">
        <v>10.1</v>
      </c>
      <c r="C221" s="96">
        <v>1</v>
      </c>
      <c r="D221" s="96">
        <v>0.73333333333333328</v>
      </c>
      <c r="E221" s="96">
        <v>0.8666666666666667</v>
      </c>
      <c r="F221" s="96">
        <v>0.46666666666666667</v>
      </c>
      <c r="G221" s="83" t="str">
        <f>IF(Table1[[#This Row],[I-E]]&gt;0.5,"I","E") &amp; IF(Table1[[#This Row],[S-N]]&gt;0.5,"S","N") &amp; IF(Table1[[#This Row],[T-F]]&gt;0.5,"T","F") &amp; IF(Table1[[#This Row],[J-P]]&gt;0.5,"J","P")</f>
        <v>ISTP</v>
      </c>
      <c r="H221" s="93">
        <f>VALUE(LEFT(Table1[[#This Row],[Class]], FIND(".",Table1[[#This Row],[Class]])-1))</f>
        <v>10</v>
      </c>
      <c r="I221" s="93">
        <f>VALUE(RIGHT(Table1[[#This Row],[Class]],LEN(Table1[[#This Row],[Class]]) - FIND(".",Table1[[#This Row],[Class]])))</f>
        <v>1</v>
      </c>
    </row>
    <row r="222" spans="1:9" ht="21.6" x14ac:dyDescent="0.25">
      <c r="A222" s="10">
        <v>10107</v>
      </c>
      <c r="B222" s="91">
        <v>10.1</v>
      </c>
      <c r="C222" s="96">
        <v>0.8</v>
      </c>
      <c r="D222" s="96">
        <v>0.66666666666666663</v>
      </c>
      <c r="E222" s="96">
        <v>0.53333333333333333</v>
      </c>
      <c r="F222" s="96">
        <v>0.53333333333333333</v>
      </c>
      <c r="G222" s="83" t="str">
        <f>IF(Table1[[#This Row],[I-E]]&gt;0.5,"I","E") &amp; IF(Table1[[#This Row],[S-N]]&gt;0.5,"S","N") &amp; IF(Table1[[#This Row],[T-F]]&gt;0.5,"T","F") &amp; IF(Table1[[#This Row],[J-P]]&gt;0.5,"J","P")</f>
        <v>ISTJ</v>
      </c>
      <c r="H222" s="93">
        <f>VALUE(LEFT(Table1[[#This Row],[Class]], FIND(".",Table1[[#This Row],[Class]])-1))</f>
        <v>10</v>
      </c>
      <c r="I222" s="93">
        <f>VALUE(RIGHT(Table1[[#This Row],[Class]],LEN(Table1[[#This Row],[Class]]) - FIND(".",Table1[[#This Row],[Class]])))</f>
        <v>1</v>
      </c>
    </row>
    <row r="223" spans="1:9" ht="21.6" x14ac:dyDescent="0.25">
      <c r="A223" s="10">
        <v>10108</v>
      </c>
      <c r="B223" s="91">
        <v>10.1</v>
      </c>
      <c r="C223" s="96">
        <v>0.53333333333333333</v>
      </c>
      <c r="D223" s="96">
        <v>0.46666666666666667</v>
      </c>
      <c r="E223" s="96">
        <v>0.93333333333333335</v>
      </c>
      <c r="F223" s="96">
        <v>0.19999999999999996</v>
      </c>
      <c r="G223" s="83" t="str">
        <f>IF(Table1[[#This Row],[I-E]]&gt;0.5,"I","E") &amp; IF(Table1[[#This Row],[S-N]]&gt;0.5,"S","N") &amp; IF(Table1[[#This Row],[T-F]]&gt;0.5,"T","F") &amp; IF(Table1[[#This Row],[J-P]]&gt;0.5,"J","P")</f>
        <v>INTP</v>
      </c>
      <c r="H223" s="93">
        <f>VALUE(LEFT(Table1[[#This Row],[Class]], FIND(".",Table1[[#This Row],[Class]])-1))</f>
        <v>10</v>
      </c>
      <c r="I223" s="93">
        <f>VALUE(RIGHT(Table1[[#This Row],[Class]],LEN(Table1[[#This Row],[Class]]) - FIND(".",Table1[[#This Row],[Class]])))</f>
        <v>1</v>
      </c>
    </row>
    <row r="224" spans="1:9" ht="21.6" x14ac:dyDescent="0.25">
      <c r="A224" s="10">
        <v>10109</v>
      </c>
      <c r="B224" s="91">
        <v>10.1</v>
      </c>
      <c r="C224" s="96">
        <v>0.66666666666666663</v>
      </c>
      <c r="D224" s="96">
        <v>0.66666666666666663</v>
      </c>
      <c r="E224" s="96">
        <v>0.46666666666666667</v>
      </c>
      <c r="F224" s="96">
        <v>0.73333333333333328</v>
      </c>
      <c r="G224" s="83" t="str">
        <f>IF(Table1[[#This Row],[I-E]]&gt;0.5,"I","E") &amp; IF(Table1[[#This Row],[S-N]]&gt;0.5,"S","N") &amp; IF(Table1[[#This Row],[T-F]]&gt;0.5,"T","F") &amp; IF(Table1[[#This Row],[J-P]]&gt;0.5,"J","P")</f>
        <v>ISFJ</v>
      </c>
      <c r="H224" s="93">
        <f>VALUE(LEFT(Table1[[#This Row],[Class]], FIND(".",Table1[[#This Row],[Class]])-1))</f>
        <v>10</v>
      </c>
      <c r="I224" s="93">
        <f>VALUE(RIGHT(Table1[[#This Row],[Class]],LEN(Table1[[#This Row],[Class]]) - FIND(".",Table1[[#This Row],[Class]])))</f>
        <v>1</v>
      </c>
    </row>
    <row r="225" spans="1:9" ht="21.6" x14ac:dyDescent="0.25">
      <c r="A225" s="10">
        <v>10110</v>
      </c>
      <c r="B225" s="91">
        <v>10.1</v>
      </c>
      <c r="C225" s="96">
        <v>0.33333333333333326</v>
      </c>
      <c r="D225" s="96">
        <v>0.46666666666666667</v>
      </c>
      <c r="E225" s="96">
        <v>0.8</v>
      </c>
      <c r="F225" s="96">
        <v>0.46666666666666667</v>
      </c>
      <c r="G225" s="83" t="str">
        <f>IF(Table1[[#This Row],[I-E]]&gt;0.5,"I","E") &amp; IF(Table1[[#This Row],[S-N]]&gt;0.5,"S","N") &amp; IF(Table1[[#This Row],[T-F]]&gt;0.5,"T","F") &amp; IF(Table1[[#This Row],[J-P]]&gt;0.5,"J","P")</f>
        <v>ENTP</v>
      </c>
      <c r="H225" s="93">
        <f>VALUE(LEFT(Table1[[#This Row],[Class]], FIND(".",Table1[[#This Row],[Class]])-1))</f>
        <v>10</v>
      </c>
      <c r="I225" s="93">
        <f>VALUE(RIGHT(Table1[[#This Row],[Class]],LEN(Table1[[#This Row],[Class]]) - FIND(".",Table1[[#This Row],[Class]])))</f>
        <v>1</v>
      </c>
    </row>
    <row r="226" spans="1:9" ht="21.6" x14ac:dyDescent="0.25">
      <c r="A226" s="10">
        <v>10111</v>
      </c>
      <c r="B226" s="91">
        <v>10.1</v>
      </c>
      <c r="C226" s="96">
        <v>0.66666666666666663</v>
      </c>
      <c r="D226" s="96">
        <v>0.33333333333333326</v>
      </c>
      <c r="E226" s="96">
        <v>0.8666666666666667</v>
      </c>
      <c r="F226" s="96">
        <v>0.46666666666666667</v>
      </c>
      <c r="G226" s="83" t="str">
        <f>IF(Table1[[#This Row],[I-E]]&gt;0.5,"I","E") &amp; IF(Table1[[#This Row],[S-N]]&gt;0.5,"S","N") &amp; IF(Table1[[#This Row],[T-F]]&gt;0.5,"T","F") &amp; IF(Table1[[#This Row],[J-P]]&gt;0.5,"J","P")</f>
        <v>INTP</v>
      </c>
      <c r="H226" s="93">
        <f>VALUE(LEFT(Table1[[#This Row],[Class]], FIND(".",Table1[[#This Row],[Class]])-1))</f>
        <v>10</v>
      </c>
      <c r="I226" s="93">
        <f>VALUE(RIGHT(Table1[[#This Row],[Class]],LEN(Table1[[#This Row],[Class]]) - FIND(".",Table1[[#This Row],[Class]])))</f>
        <v>1</v>
      </c>
    </row>
    <row r="227" spans="1:9" ht="21.6" x14ac:dyDescent="0.25">
      <c r="A227" s="10">
        <v>10112</v>
      </c>
      <c r="B227" s="91">
        <v>10.1</v>
      </c>
      <c r="C227" s="96">
        <v>0.66666666666666663</v>
      </c>
      <c r="D227" s="96">
        <v>0.4</v>
      </c>
      <c r="E227" s="96">
        <v>0.66666666666666663</v>
      </c>
      <c r="F227" s="96">
        <v>0.73333333333333328</v>
      </c>
      <c r="G227" s="83" t="str">
        <f>IF(Table1[[#This Row],[I-E]]&gt;0.5,"I","E") &amp; IF(Table1[[#This Row],[S-N]]&gt;0.5,"S","N") &amp; IF(Table1[[#This Row],[T-F]]&gt;0.5,"T","F") &amp; IF(Table1[[#This Row],[J-P]]&gt;0.5,"J","P")</f>
        <v>INTJ</v>
      </c>
      <c r="H227" s="93">
        <f>VALUE(LEFT(Table1[[#This Row],[Class]], FIND(".",Table1[[#This Row],[Class]])-1))</f>
        <v>10</v>
      </c>
      <c r="I227" s="93">
        <f>VALUE(RIGHT(Table1[[#This Row],[Class]],LEN(Table1[[#This Row],[Class]]) - FIND(".",Table1[[#This Row],[Class]])))</f>
        <v>1</v>
      </c>
    </row>
    <row r="228" spans="1:9" ht="21.6" x14ac:dyDescent="0.25">
      <c r="A228" s="10">
        <v>10113</v>
      </c>
      <c r="B228" s="91">
        <v>10.1</v>
      </c>
      <c r="C228" s="96">
        <v>0.8</v>
      </c>
      <c r="D228" s="96">
        <v>0.46666666666666667</v>
      </c>
      <c r="E228" s="96">
        <v>0.8666666666666667</v>
      </c>
      <c r="F228" s="96">
        <v>0.66666666666666663</v>
      </c>
      <c r="G228" s="83" t="str">
        <f>IF(Table1[[#This Row],[I-E]]&gt;0.5,"I","E") &amp; IF(Table1[[#This Row],[S-N]]&gt;0.5,"S","N") &amp; IF(Table1[[#This Row],[T-F]]&gt;0.5,"T","F") &amp; IF(Table1[[#This Row],[J-P]]&gt;0.5,"J","P")</f>
        <v>INTJ</v>
      </c>
      <c r="H228" s="93">
        <f>VALUE(LEFT(Table1[[#This Row],[Class]], FIND(".",Table1[[#This Row],[Class]])-1))</f>
        <v>10</v>
      </c>
      <c r="I228" s="93">
        <f>VALUE(RIGHT(Table1[[#This Row],[Class]],LEN(Table1[[#This Row],[Class]]) - FIND(".",Table1[[#This Row],[Class]])))</f>
        <v>1</v>
      </c>
    </row>
    <row r="229" spans="1:9" ht="21.6" x14ac:dyDescent="0.25">
      <c r="A229" s="10">
        <v>10114</v>
      </c>
      <c r="B229" s="91">
        <v>10.1</v>
      </c>
      <c r="C229" s="96">
        <v>0.53333333333333333</v>
      </c>
      <c r="D229" s="96">
        <v>0.66666666666666663</v>
      </c>
      <c r="E229" s="96">
        <v>0.6</v>
      </c>
      <c r="F229" s="96">
        <v>0.46666666666666667</v>
      </c>
      <c r="G229" s="83" t="str">
        <f>IF(Table1[[#This Row],[I-E]]&gt;0.5,"I","E") &amp; IF(Table1[[#This Row],[S-N]]&gt;0.5,"S","N") &amp; IF(Table1[[#This Row],[T-F]]&gt;0.5,"T","F") &amp; IF(Table1[[#This Row],[J-P]]&gt;0.5,"J","P")</f>
        <v>ISTP</v>
      </c>
      <c r="H229" s="93">
        <f>VALUE(LEFT(Table1[[#This Row],[Class]], FIND(".",Table1[[#This Row],[Class]])-1))</f>
        <v>10</v>
      </c>
      <c r="I229" s="93">
        <f>VALUE(RIGHT(Table1[[#This Row],[Class]],LEN(Table1[[#This Row],[Class]]) - FIND(".",Table1[[#This Row],[Class]])))</f>
        <v>1</v>
      </c>
    </row>
    <row r="230" spans="1:9" ht="21.6" x14ac:dyDescent="0.25">
      <c r="A230" s="10">
        <v>10115</v>
      </c>
      <c r="B230" s="91">
        <v>10.1</v>
      </c>
      <c r="C230" s="96">
        <v>0.6</v>
      </c>
      <c r="D230" s="96">
        <v>0.6</v>
      </c>
      <c r="E230" s="96">
        <v>0.66666666666666663</v>
      </c>
      <c r="F230" s="96">
        <v>0.4</v>
      </c>
      <c r="G230" s="83" t="str">
        <f>IF(Table1[[#This Row],[I-E]]&gt;0.5,"I","E") &amp; IF(Table1[[#This Row],[S-N]]&gt;0.5,"S","N") &amp; IF(Table1[[#This Row],[T-F]]&gt;0.5,"T","F") &amp; IF(Table1[[#This Row],[J-P]]&gt;0.5,"J","P")</f>
        <v>ISTP</v>
      </c>
      <c r="H230" s="93">
        <f>VALUE(LEFT(Table1[[#This Row],[Class]], FIND(".",Table1[[#This Row],[Class]])-1))</f>
        <v>10</v>
      </c>
      <c r="I230" s="93">
        <f>VALUE(RIGHT(Table1[[#This Row],[Class]],LEN(Table1[[#This Row],[Class]]) - FIND(".",Table1[[#This Row],[Class]])))</f>
        <v>1</v>
      </c>
    </row>
    <row r="231" spans="1:9" ht="21.6" x14ac:dyDescent="0.25">
      <c r="A231" s="10">
        <v>10116</v>
      </c>
      <c r="B231" s="91">
        <v>10.1</v>
      </c>
      <c r="C231" s="96">
        <v>0.66666666666666663</v>
      </c>
      <c r="D231" s="96">
        <v>0.73333333333333328</v>
      </c>
      <c r="E231" s="96">
        <v>0.93333333333333335</v>
      </c>
      <c r="F231" s="96">
        <v>0.6</v>
      </c>
      <c r="G231" s="83" t="str">
        <f>IF(Table1[[#This Row],[I-E]]&gt;0.5,"I","E") &amp; IF(Table1[[#This Row],[S-N]]&gt;0.5,"S","N") &amp; IF(Table1[[#This Row],[T-F]]&gt;0.5,"T","F") &amp; IF(Table1[[#This Row],[J-P]]&gt;0.5,"J","P")</f>
        <v>ISTJ</v>
      </c>
      <c r="H231" s="93">
        <f>VALUE(LEFT(Table1[[#This Row],[Class]], FIND(".",Table1[[#This Row],[Class]])-1))</f>
        <v>10</v>
      </c>
      <c r="I231" s="93">
        <f>VALUE(RIGHT(Table1[[#This Row],[Class]],LEN(Table1[[#This Row],[Class]]) - FIND(".",Table1[[#This Row],[Class]])))</f>
        <v>1</v>
      </c>
    </row>
    <row r="232" spans="1:9" ht="21.6" x14ac:dyDescent="0.25">
      <c r="A232" s="10">
        <v>10117</v>
      </c>
      <c r="B232" s="91">
        <v>10.1</v>
      </c>
      <c r="C232" s="96">
        <v>0.53333333333333333</v>
      </c>
      <c r="D232" s="96">
        <v>0.26666666666666661</v>
      </c>
      <c r="E232" s="96">
        <v>0.6</v>
      </c>
      <c r="F232" s="96">
        <v>0.66666666666666663</v>
      </c>
      <c r="G232" s="83" t="str">
        <f>IF(Table1[[#This Row],[I-E]]&gt;0.5,"I","E") &amp; IF(Table1[[#This Row],[S-N]]&gt;0.5,"S","N") &amp; IF(Table1[[#This Row],[T-F]]&gt;0.5,"T","F") &amp; IF(Table1[[#This Row],[J-P]]&gt;0.5,"J","P")</f>
        <v>INTJ</v>
      </c>
      <c r="H232" s="93">
        <f>VALUE(LEFT(Table1[[#This Row],[Class]], FIND(".",Table1[[#This Row],[Class]])-1))</f>
        <v>10</v>
      </c>
      <c r="I232" s="93">
        <f>VALUE(RIGHT(Table1[[#This Row],[Class]],LEN(Table1[[#This Row],[Class]]) - FIND(".",Table1[[#This Row],[Class]])))</f>
        <v>1</v>
      </c>
    </row>
    <row r="233" spans="1:9" ht="21.6" x14ac:dyDescent="0.25">
      <c r="A233" s="10">
        <v>10118</v>
      </c>
      <c r="B233" s="91">
        <v>10.1</v>
      </c>
      <c r="C233" s="96">
        <v>0.8</v>
      </c>
      <c r="D233" s="96">
        <v>0.1333333333333333</v>
      </c>
      <c r="E233" s="96">
        <v>0.66666666666666663</v>
      </c>
      <c r="F233" s="96">
        <v>0.53333333333333333</v>
      </c>
      <c r="G233" s="83" t="str">
        <f>IF(Table1[[#This Row],[I-E]]&gt;0.5,"I","E") &amp; IF(Table1[[#This Row],[S-N]]&gt;0.5,"S","N") &amp; IF(Table1[[#This Row],[T-F]]&gt;0.5,"T","F") &amp; IF(Table1[[#This Row],[J-P]]&gt;0.5,"J","P")</f>
        <v>INTJ</v>
      </c>
      <c r="H233" s="93">
        <f>VALUE(LEFT(Table1[[#This Row],[Class]], FIND(".",Table1[[#This Row],[Class]])-1))</f>
        <v>10</v>
      </c>
      <c r="I233" s="93">
        <f>VALUE(RIGHT(Table1[[#This Row],[Class]],LEN(Table1[[#This Row],[Class]]) - FIND(".",Table1[[#This Row],[Class]])))</f>
        <v>1</v>
      </c>
    </row>
    <row r="234" spans="1:9" ht="21.6" x14ac:dyDescent="0.25">
      <c r="A234" s="10">
        <v>10119</v>
      </c>
      <c r="B234" s="91">
        <v>10.1</v>
      </c>
      <c r="C234" s="96">
        <v>0.46666666666666667</v>
      </c>
      <c r="D234" s="96">
        <v>0.46666666666666667</v>
      </c>
      <c r="E234" s="96">
        <v>0.93333333333333335</v>
      </c>
      <c r="F234" s="96">
        <v>0.33333333333333326</v>
      </c>
      <c r="G234" s="83" t="str">
        <f>IF(Table1[[#This Row],[I-E]]&gt;0.5,"I","E") &amp; IF(Table1[[#This Row],[S-N]]&gt;0.5,"S","N") &amp; IF(Table1[[#This Row],[T-F]]&gt;0.5,"T","F") &amp; IF(Table1[[#This Row],[J-P]]&gt;0.5,"J","P")</f>
        <v>ENTP</v>
      </c>
      <c r="H234" s="93">
        <f>VALUE(LEFT(Table1[[#This Row],[Class]], FIND(".",Table1[[#This Row],[Class]])-1))</f>
        <v>10</v>
      </c>
      <c r="I234" s="93">
        <f>VALUE(RIGHT(Table1[[#This Row],[Class]],LEN(Table1[[#This Row],[Class]]) - FIND(".",Table1[[#This Row],[Class]])))</f>
        <v>1</v>
      </c>
    </row>
    <row r="235" spans="1:9" ht="21.6" x14ac:dyDescent="0.25">
      <c r="A235" s="10">
        <v>10120</v>
      </c>
      <c r="B235" s="91">
        <v>10.1</v>
      </c>
      <c r="C235" s="96">
        <v>0.46666666666666667</v>
      </c>
      <c r="D235" s="96">
        <v>0.53333333333333333</v>
      </c>
      <c r="E235" s="96">
        <v>0.53333333333333333</v>
      </c>
      <c r="F235" s="96">
        <v>0.6</v>
      </c>
      <c r="G235" s="83" t="str">
        <f>IF(Table1[[#This Row],[I-E]]&gt;0.5,"I","E") &amp; IF(Table1[[#This Row],[S-N]]&gt;0.5,"S","N") &amp; IF(Table1[[#This Row],[T-F]]&gt;0.5,"T","F") &amp; IF(Table1[[#This Row],[J-P]]&gt;0.5,"J","P")</f>
        <v>ESTJ</v>
      </c>
      <c r="H235" s="93">
        <f>VALUE(LEFT(Table1[[#This Row],[Class]], FIND(".",Table1[[#This Row],[Class]])-1))</f>
        <v>10</v>
      </c>
      <c r="I235" s="93">
        <f>VALUE(RIGHT(Table1[[#This Row],[Class]],LEN(Table1[[#This Row],[Class]]) - FIND(".",Table1[[#This Row],[Class]])))</f>
        <v>1</v>
      </c>
    </row>
    <row r="236" spans="1:9" ht="21.6" x14ac:dyDescent="0.25">
      <c r="A236" s="10">
        <v>10121</v>
      </c>
      <c r="B236" s="91">
        <v>10.1</v>
      </c>
      <c r="C236" s="96">
        <v>0.46666666666666667</v>
      </c>
      <c r="D236" s="96">
        <v>0.6</v>
      </c>
      <c r="E236" s="96">
        <v>0.8</v>
      </c>
      <c r="F236" s="96">
        <v>0.66666666666666663</v>
      </c>
      <c r="G236" s="83" t="str">
        <f>IF(Table1[[#This Row],[I-E]]&gt;0.5,"I","E") &amp; IF(Table1[[#This Row],[S-N]]&gt;0.5,"S","N") &amp; IF(Table1[[#This Row],[T-F]]&gt;0.5,"T","F") &amp; IF(Table1[[#This Row],[J-P]]&gt;0.5,"J","P")</f>
        <v>ESTJ</v>
      </c>
      <c r="H236" s="93">
        <f>VALUE(LEFT(Table1[[#This Row],[Class]], FIND(".",Table1[[#This Row],[Class]])-1))</f>
        <v>10</v>
      </c>
      <c r="I236" s="93">
        <f>VALUE(RIGHT(Table1[[#This Row],[Class]],LEN(Table1[[#This Row],[Class]]) - FIND(".",Table1[[#This Row],[Class]])))</f>
        <v>1</v>
      </c>
    </row>
    <row r="237" spans="1:9" ht="21.6" x14ac:dyDescent="0.25">
      <c r="A237" s="10">
        <v>10122</v>
      </c>
      <c r="B237" s="91">
        <v>10.1</v>
      </c>
      <c r="C237" s="96">
        <v>0.73333333333333328</v>
      </c>
      <c r="D237" s="96">
        <v>0.46666666666666667</v>
      </c>
      <c r="E237" s="96">
        <v>0.66666666666666663</v>
      </c>
      <c r="F237" s="96">
        <v>0.33333333333333326</v>
      </c>
      <c r="G237" s="83" t="str">
        <f>IF(Table1[[#This Row],[I-E]]&gt;0.5,"I","E") &amp; IF(Table1[[#This Row],[S-N]]&gt;0.5,"S","N") &amp; IF(Table1[[#This Row],[T-F]]&gt;0.5,"T","F") &amp; IF(Table1[[#This Row],[J-P]]&gt;0.5,"J","P")</f>
        <v>INTP</v>
      </c>
      <c r="H237" s="93">
        <f>VALUE(LEFT(Table1[[#This Row],[Class]], FIND(".",Table1[[#This Row],[Class]])-1))</f>
        <v>10</v>
      </c>
      <c r="I237" s="93">
        <f>VALUE(RIGHT(Table1[[#This Row],[Class]],LEN(Table1[[#This Row],[Class]]) - FIND(".",Table1[[#This Row],[Class]])))</f>
        <v>1</v>
      </c>
    </row>
    <row r="238" spans="1:9" ht="21.6" x14ac:dyDescent="0.25">
      <c r="A238" s="10">
        <v>10123</v>
      </c>
      <c r="B238" s="91">
        <v>10.1</v>
      </c>
      <c r="C238" s="96">
        <v>0.8</v>
      </c>
      <c r="D238" s="96">
        <v>0.26666666666666661</v>
      </c>
      <c r="E238" s="96">
        <v>0.8</v>
      </c>
      <c r="F238" s="96">
        <v>0.46666666666666667</v>
      </c>
      <c r="G238" s="83" t="str">
        <f>IF(Table1[[#This Row],[I-E]]&gt;0.5,"I","E") &amp; IF(Table1[[#This Row],[S-N]]&gt;0.5,"S","N") &amp; IF(Table1[[#This Row],[T-F]]&gt;0.5,"T","F") &amp; IF(Table1[[#This Row],[J-P]]&gt;0.5,"J","P")</f>
        <v>INTP</v>
      </c>
      <c r="H238" s="93">
        <f>VALUE(LEFT(Table1[[#This Row],[Class]], FIND(".",Table1[[#This Row],[Class]])-1))</f>
        <v>10</v>
      </c>
      <c r="I238" s="93">
        <f>VALUE(RIGHT(Table1[[#This Row],[Class]],LEN(Table1[[#This Row],[Class]]) - FIND(".",Table1[[#This Row],[Class]])))</f>
        <v>1</v>
      </c>
    </row>
    <row r="239" spans="1:9" ht="21.6" x14ac:dyDescent="0.25">
      <c r="A239" s="10">
        <v>10124</v>
      </c>
      <c r="B239" s="91">
        <v>10.1</v>
      </c>
      <c r="C239" s="96">
        <v>0.53333333333333333</v>
      </c>
      <c r="D239" s="96">
        <v>0.66666666666666663</v>
      </c>
      <c r="E239" s="96">
        <v>0.73333333333333328</v>
      </c>
      <c r="F239" s="96">
        <v>0.26666666666666661</v>
      </c>
      <c r="G239" s="83" t="str">
        <f>IF(Table1[[#This Row],[I-E]]&gt;0.5,"I","E") &amp; IF(Table1[[#This Row],[S-N]]&gt;0.5,"S","N") &amp; IF(Table1[[#This Row],[T-F]]&gt;0.5,"T","F") &amp; IF(Table1[[#This Row],[J-P]]&gt;0.5,"J","P")</f>
        <v>ISTP</v>
      </c>
      <c r="H239" s="93">
        <f>VALUE(LEFT(Table1[[#This Row],[Class]], FIND(".",Table1[[#This Row],[Class]])-1))</f>
        <v>10</v>
      </c>
      <c r="I239" s="93">
        <f>VALUE(RIGHT(Table1[[#This Row],[Class]],LEN(Table1[[#This Row],[Class]]) - FIND(".",Table1[[#This Row],[Class]])))</f>
        <v>1</v>
      </c>
    </row>
    <row r="240" spans="1:9" ht="21.6" x14ac:dyDescent="0.25">
      <c r="A240" s="10">
        <v>10125</v>
      </c>
      <c r="B240" s="91">
        <v>10.1</v>
      </c>
      <c r="C240" s="96">
        <v>0.66666666666666663</v>
      </c>
      <c r="D240" s="96">
        <v>0.53333333333333333</v>
      </c>
      <c r="E240" s="96">
        <v>0.53333333333333333</v>
      </c>
      <c r="F240" s="96">
        <v>0.33333333333333326</v>
      </c>
      <c r="G240" s="83" t="str">
        <f>IF(Table1[[#This Row],[I-E]]&gt;0.5,"I","E") &amp; IF(Table1[[#This Row],[S-N]]&gt;0.5,"S","N") &amp; IF(Table1[[#This Row],[T-F]]&gt;0.5,"T","F") &amp; IF(Table1[[#This Row],[J-P]]&gt;0.5,"J","P")</f>
        <v>ISTP</v>
      </c>
      <c r="H240" s="93">
        <f>VALUE(LEFT(Table1[[#This Row],[Class]], FIND(".",Table1[[#This Row],[Class]])-1))</f>
        <v>10</v>
      </c>
      <c r="I240" s="93">
        <f>VALUE(RIGHT(Table1[[#This Row],[Class]],LEN(Table1[[#This Row],[Class]]) - FIND(".",Table1[[#This Row],[Class]])))</f>
        <v>1</v>
      </c>
    </row>
    <row r="241" spans="1:9" ht="21.6" x14ac:dyDescent="0.25">
      <c r="A241" s="10">
        <v>10126</v>
      </c>
      <c r="B241" s="91">
        <v>10.1</v>
      </c>
      <c r="C241" s="96">
        <v>0.8666666666666667</v>
      </c>
      <c r="D241" s="96">
        <v>0.46666666666666667</v>
      </c>
      <c r="E241" s="96">
        <v>0.66666666666666663</v>
      </c>
      <c r="F241" s="96">
        <v>0.6</v>
      </c>
      <c r="G241" s="83" t="str">
        <f>IF(Table1[[#This Row],[I-E]]&gt;0.5,"I","E") &amp; IF(Table1[[#This Row],[S-N]]&gt;0.5,"S","N") &amp; IF(Table1[[#This Row],[T-F]]&gt;0.5,"T","F") &amp; IF(Table1[[#This Row],[J-P]]&gt;0.5,"J","P")</f>
        <v>INTJ</v>
      </c>
      <c r="H241" s="93">
        <f>VALUE(LEFT(Table1[[#This Row],[Class]], FIND(".",Table1[[#This Row],[Class]])-1))</f>
        <v>10</v>
      </c>
      <c r="I241" s="93">
        <f>VALUE(RIGHT(Table1[[#This Row],[Class]],LEN(Table1[[#This Row],[Class]]) - FIND(".",Table1[[#This Row],[Class]])))</f>
        <v>1</v>
      </c>
    </row>
    <row r="242" spans="1:9" ht="21.6" x14ac:dyDescent="0.25">
      <c r="A242" s="10">
        <v>10127</v>
      </c>
      <c r="B242" s="91">
        <v>10.1</v>
      </c>
      <c r="C242" s="96">
        <v>0.46666666666666667</v>
      </c>
      <c r="D242" s="96">
        <v>0.26666666666666661</v>
      </c>
      <c r="E242" s="96">
        <v>0.53333333333333333</v>
      </c>
      <c r="F242" s="96">
        <v>0.6</v>
      </c>
      <c r="G242" s="83" t="str">
        <f>IF(Table1[[#This Row],[I-E]]&gt;0.5,"I","E") &amp; IF(Table1[[#This Row],[S-N]]&gt;0.5,"S","N") &amp; IF(Table1[[#This Row],[T-F]]&gt;0.5,"T","F") &amp; IF(Table1[[#This Row],[J-P]]&gt;0.5,"J","P")</f>
        <v>ENTJ</v>
      </c>
      <c r="H242" s="93">
        <f>VALUE(LEFT(Table1[[#This Row],[Class]], FIND(".",Table1[[#This Row],[Class]])-1))</f>
        <v>10</v>
      </c>
      <c r="I242" s="93">
        <f>VALUE(RIGHT(Table1[[#This Row],[Class]],LEN(Table1[[#This Row],[Class]]) - FIND(".",Table1[[#This Row],[Class]])))</f>
        <v>1</v>
      </c>
    </row>
    <row r="243" spans="1:9" ht="21.6" x14ac:dyDescent="0.25">
      <c r="A243" s="10">
        <v>10128</v>
      </c>
      <c r="B243" s="91">
        <v>10.1</v>
      </c>
      <c r="C243" s="96">
        <v>0.66666666666666663</v>
      </c>
      <c r="D243" s="96">
        <v>0.46666666666666667</v>
      </c>
      <c r="E243" s="96">
        <v>0.8</v>
      </c>
      <c r="F243" s="96">
        <v>0.4</v>
      </c>
      <c r="G243" s="83" t="str">
        <f>IF(Table1[[#This Row],[I-E]]&gt;0.5,"I","E") &amp; IF(Table1[[#This Row],[S-N]]&gt;0.5,"S","N") &amp; IF(Table1[[#This Row],[T-F]]&gt;0.5,"T","F") &amp; IF(Table1[[#This Row],[J-P]]&gt;0.5,"J","P")</f>
        <v>INTP</v>
      </c>
      <c r="H243" s="93">
        <f>VALUE(LEFT(Table1[[#This Row],[Class]], FIND(".",Table1[[#This Row],[Class]])-1))</f>
        <v>10</v>
      </c>
      <c r="I243" s="93">
        <f>VALUE(RIGHT(Table1[[#This Row],[Class]],LEN(Table1[[#This Row],[Class]]) - FIND(".",Table1[[#This Row],[Class]])))</f>
        <v>1</v>
      </c>
    </row>
    <row r="244" spans="1:9" ht="21.6" x14ac:dyDescent="0.25">
      <c r="A244" s="10">
        <v>10129</v>
      </c>
      <c r="B244" s="91">
        <v>10.1</v>
      </c>
      <c r="C244" s="96">
        <v>0.6</v>
      </c>
      <c r="D244" s="96">
        <v>0.53333333333333333</v>
      </c>
      <c r="E244" s="96">
        <v>0.53333333333333333</v>
      </c>
      <c r="F244" s="96">
        <v>0.53333333333333333</v>
      </c>
      <c r="G244" s="83" t="str">
        <f>IF(Table1[[#This Row],[I-E]]&gt;0.5,"I","E") &amp; IF(Table1[[#This Row],[S-N]]&gt;0.5,"S","N") &amp; IF(Table1[[#This Row],[T-F]]&gt;0.5,"T","F") &amp; IF(Table1[[#This Row],[J-P]]&gt;0.5,"J","P")</f>
        <v>ISTJ</v>
      </c>
      <c r="H244" s="93">
        <f>VALUE(LEFT(Table1[[#This Row],[Class]], FIND(".",Table1[[#This Row],[Class]])-1))</f>
        <v>10</v>
      </c>
      <c r="I244" s="93">
        <f>VALUE(RIGHT(Table1[[#This Row],[Class]],LEN(Table1[[#This Row],[Class]]) - FIND(".",Table1[[#This Row],[Class]])))</f>
        <v>1</v>
      </c>
    </row>
    <row r="245" spans="1:9" ht="21.6" x14ac:dyDescent="0.25">
      <c r="A245" s="10">
        <v>10201</v>
      </c>
      <c r="B245" s="91">
        <v>10.199999999999999</v>
      </c>
      <c r="C245" s="96">
        <v>0.66666666666666663</v>
      </c>
      <c r="D245" s="96">
        <v>0.53333333333333333</v>
      </c>
      <c r="E245" s="96">
        <v>0.93333333333333335</v>
      </c>
      <c r="F245" s="96">
        <v>0.33333333333333326</v>
      </c>
      <c r="G245" s="83" t="str">
        <f>IF(Table1[[#This Row],[I-E]]&gt;0.5,"I","E") &amp; IF(Table1[[#This Row],[S-N]]&gt;0.5,"S","N") &amp; IF(Table1[[#This Row],[T-F]]&gt;0.5,"T","F") &amp; IF(Table1[[#This Row],[J-P]]&gt;0.5,"J","P")</f>
        <v>ISTP</v>
      </c>
      <c r="H245" s="93">
        <f>VALUE(LEFT(Table1[[#This Row],[Class]], FIND(".",Table1[[#This Row],[Class]])-1))</f>
        <v>10</v>
      </c>
      <c r="I245" s="93">
        <f>VALUE(RIGHT(Table1[[#This Row],[Class]],LEN(Table1[[#This Row],[Class]]) - FIND(".",Table1[[#This Row],[Class]])))</f>
        <v>2</v>
      </c>
    </row>
    <row r="246" spans="1:9" ht="21.6" x14ac:dyDescent="0.25">
      <c r="A246" s="10">
        <v>10202</v>
      </c>
      <c r="B246" s="91">
        <v>10.199999999999999</v>
      </c>
      <c r="C246" s="96">
        <v>0.66666666666666663</v>
      </c>
      <c r="D246" s="96">
        <v>0.93333333333333335</v>
      </c>
      <c r="E246" s="96">
        <v>0.8666666666666667</v>
      </c>
      <c r="F246" s="96">
        <v>0.73333333333333328</v>
      </c>
      <c r="G246" s="83" t="str">
        <f>IF(Table1[[#This Row],[I-E]]&gt;0.5,"I","E") &amp; IF(Table1[[#This Row],[S-N]]&gt;0.5,"S","N") &amp; IF(Table1[[#This Row],[T-F]]&gt;0.5,"T","F") &amp; IF(Table1[[#This Row],[J-P]]&gt;0.5,"J","P")</f>
        <v>ISTJ</v>
      </c>
      <c r="H246" s="93">
        <f>VALUE(LEFT(Table1[[#This Row],[Class]], FIND(".",Table1[[#This Row],[Class]])-1))</f>
        <v>10</v>
      </c>
      <c r="I246" s="93">
        <f>VALUE(RIGHT(Table1[[#This Row],[Class]],LEN(Table1[[#This Row],[Class]]) - FIND(".",Table1[[#This Row],[Class]])))</f>
        <v>2</v>
      </c>
    </row>
    <row r="247" spans="1:9" ht="21.6" x14ac:dyDescent="0.25">
      <c r="A247" s="10">
        <v>10203</v>
      </c>
      <c r="B247" s="91">
        <v>10.199999999999999</v>
      </c>
      <c r="C247" s="96">
        <v>0.6</v>
      </c>
      <c r="D247" s="96">
        <v>0.66666666666666663</v>
      </c>
      <c r="E247" s="96">
        <v>1</v>
      </c>
      <c r="F247" s="96">
        <v>0.53333333333333333</v>
      </c>
      <c r="G247" s="83" t="str">
        <f>IF(Table1[[#This Row],[I-E]]&gt;0.5,"I","E") &amp; IF(Table1[[#This Row],[S-N]]&gt;0.5,"S","N") &amp; IF(Table1[[#This Row],[T-F]]&gt;0.5,"T","F") &amp; IF(Table1[[#This Row],[J-P]]&gt;0.5,"J","P")</f>
        <v>ISTJ</v>
      </c>
      <c r="H247" s="93">
        <f>VALUE(LEFT(Table1[[#This Row],[Class]], FIND(".",Table1[[#This Row],[Class]])-1))</f>
        <v>10</v>
      </c>
      <c r="I247" s="93">
        <f>VALUE(RIGHT(Table1[[#This Row],[Class]],LEN(Table1[[#This Row],[Class]]) - FIND(".",Table1[[#This Row],[Class]])))</f>
        <v>2</v>
      </c>
    </row>
    <row r="248" spans="1:9" ht="21.6" x14ac:dyDescent="0.25">
      <c r="A248" s="10">
        <v>10204</v>
      </c>
      <c r="B248" s="91">
        <v>10.199999999999999</v>
      </c>
      <c r="C248" s="96">
        <v>0.8666666666666667</v>
      </c>
      <c r="D248" s="96">
        <v>0.26666666666666661</v>
      </c>
      <c r="E248" s="96">
        <v>0.8666666666666667</v>
      </c>
      <c r="F248" s="96">
        <v>0.73333333333333328</v>
      </c>
      <c r="G248" s="83" t="str">
        <f>IF(Table1[[#This Row],[I-E]]&gt;0.5,"I","E") &amp; IF(Table1[[#This Row],[S-N]]&gt;0.5,"S","N") &amp; IF(Table1[[#This Row],[T-F]]&gt;0.5,"T","F") &amp; IF(Table1[[#This Row],[J-P]]&gt;0.5,"J","P")</f>
        <v>INTJ</v>
      </c>
      <c r="H248" s="93">
        <f>VALUE(LEFT(Table1[[#This Row],[Class]], FIND(".",Table1[[#This Row],[Class]])-1))</f>
        <v>10</v>
      </c>
      <c r="I248" s="93">
        <f>VALUE(RIGHT(Table1[[#This Row],[Class]],LEN(Table1[[#This Row],[Class]]) - FIND(".",Table1[[#This Row],[Class]])))</f>
        <v>2</v>
      </c>
    </row>
    <row r="249" spans="1:9" ht="21.6" x14ac:dyDescent="0.25">
      <c r="A249" s="10">
        <v>10205</v>
      </c>
      <c r="B249" s="91">
        <v>10.199999999999999</v>
      </c>
      <c r="C249" s="96">
        <v>0.46666666666666667</v>
      </c>
      <c r="D249" s="96">
        <v>0.73333333333333328</v>
      </c>
      <c r="E249" s="96">
        <v>0.6</v>
      </c>
      <c r="F249" s="96">
        <v>0.33333333333333326</v>
      </c>
      <c r="G249" s="83" t="str">
        <f>IF(Table1[[#This Row],[I-E]]&gt;0.5,"I","E") &amp; IF(Table1[[#This Row],[S-N]]&gt;0.5,"S","N") &amp; IF(Table1[[#This Row],[T-F]]&gt;0.5,"T","F") &amp; IF(Table1[[#This Row],[J-P]]&gt;0.5,"J","P")</f>
        <v>ESTP</v>
      </c>
      <c r="H249" s="93">
        <f>VALUE(LEFT(Table1[[#This Row],[Class]], FIND(".",Table1[[#This Row],[Class]])-1))</f>
        <v>10</v>
      </c>
      <c r="I249" s="93">
        <f>VALUE(RIGHT(Table1[[#This Row],[Class]],LEN(Table1[[#This Row],[Class]]) - FIND(".",Table1[[#This Row],[Class]])))</f>
        <v>2</v>
      </c>
    </row>
    <row r="250" spans="1:9" ht="21.6" x14ac:dyDescent="0.25">
      <c r="A250" s="10">
        <v>10206</v>
      </c>
      <c r="B250" s="91">
        <v>10.199999999999999</v>
      </c>
      <c r="C250" s="96">
        <v>0.6</v>
      </c>
      <c r="D250" s="96">
        <v>0.8666666666666667</v>
      </c>
      <c r="E250" s="96">
        <v>0.8</v>
      </c>
      <c r="F250" s="96">
        <v>0.73333333333333328</v>
      </c>
      <c r="G250" s="83" t="str">
        <f>IF(Table1[[#This Row],[I-E]]&gt;0.5,"I","E") &amp; IF(Table1[[#This Row],[S-N]]&gt;0.5,"S","N") &amp; IF(Table1[[#This Row],[T-F]]&gt;0.5,"T","F") &amp; IF(Table1[[#This Row],[J-P]]&gt;0.5,"J","P")</f>
        <v>ISTJ</v>
      </c>
      <c r="H250" s="93">
        <f>VALUE(LEFT(Table1[[#This Row],[Class]], FIND(".",Table1[[#This Row],[Class]])-1))</f>
        <v>10</v>
      </c>
      <c r="I250" s="93">
        <f>VALUE(RIGHT(Table1[[#This Row],[Class]],LEN(Table1[[#This Row],[Class]]) - FIND(".",Table1[[#This Row],[Class]])))</f>
        <v>2</v>
      </c>
    </row>
    <row r="251" spans="1:9" ht="21.6" x14ac:dyDescent="0.25">
      <c r="A251" s="10">
        <v>10207</v>
      </c>
      <c r="B251" s="91">
        <v>10.199999999999999</v>
      </c>
      <c r="C251" s="96">
        <v>0.46666666666666667</v>
      </c>
      <c r="D251" s="96">
        <v>0.46666666666666667</v>
      </c>
      <c r="E251" s="96">
        <v>0.46666666666666667</v>
      </c>
      <c r="F251" s="96">
        <v>0.4</v>
      </c>
      <c r="G251" s="83" t="str">
        <f>IF(Table1[[#This Row],[I-E]]&gt;0.5,"I","E") &amp; IF(Table1[[#This Row],[S-N]]&gt;0.5,"S","N") &amp; IF(Table1[[#This Row],[T-F]]&gt;0.5,"T","F") &amp; IF(Table1[[#This Row],[J-P]]&gt;0.5,"J","P")</f>
        <v>ENFP</v>
      </c>
      <c r="H251" s="93">
        <f>VALUE(LEFT(Table1[[#This Row],[Class]], FIND(".",Table1[[#This Row],[Class]])-1))</f>
        <v>10</v>
      </c>
      <c r="I251" s="93">
        <f>VALUE(RIGHT(Table1[[#This Row],[Class]],LEN(Table1[[#This Row],[Class]]) - FIND(".",Table1[[#This Row],[Class]])))</f>
        <v>2</v>
      </c>
    </row>
    <row r="252" spans="1:9" ht="21.6" x14ac:dyDescent="0.25">
      <c r="A252" s="10">
        <v>10208</v>
      </c>
      <c r="B252" s="91">
        <v>10.199999999999999</v>
      </c>
      <c r="C252" s="96">
        <v>0.8</v>
      </c>
      <c r="D252" s="96">
        <v>0.46666666666666667</v>
      </c>
      <c r="E252" s="96">
        <v>1</v>
      </c>
      <c r="F252" s="96">
        <v>0.46666666666666667</v>
      </c>
      <c r="G252" s="83" t="str">
        <f>IF(Table1[[#This Row],[I-E]]&gt;0.5,"I","E") &amp; IF(Table1[[#This Row],[S-N]]&gt;0.5,"S","N") &amp; IF(Table1[[#This Row],[T-F]]&gt;0.5,"T","F") &amp; IF(Table1[[#This Row],[J-P]]&gt;0.5,"J","P")</f>
        <v>INTP</v>
      </c>
      <c r="H252" s="93">
        <f>VALUE(LEFT(Table1[[#This Row],[Class]], FIND(".",Table1[[#This Row],[Class]])-1))</f>
        <v>10</v>
      </c>
      <c r="I252" s="93">
        <f>VALUE(RIGHT(Table1[[#This Row],[Class]],LEN(Table1[[#This Row],[Class]]) - FIND(".",Table1[[#This Row],[Class]])))</f>
        <v>2</v>
      </c>
    </row>
    <row r="253" spans="1:9" ht="21.6" x14ac:dyDescent="0.25">
      <c r="A253" s="10">
        <v>10209</v>
      </c>
      <c r="B253" s="91">
        <v>10.199999999999999</v>
      </c>
      <c r="C253" s="96">
        <v>0.53333333333333333</v>
      </c>
      <c r="D253" s="96">
        <v>0.73333333333333328</v>
      </c>
      <c r="E253" s="96">
        <v>0.6</v>
      </c>
      <c r="F253" s="96">
        <v>0.19999999999999996</v>
      </c>
      <c r="G253" s="83" t="str">
        <f>IF(Table1[[#This Row],[I-E]]&gt;0.5,"I","E") &amp; IF(Table1[[#This Row],[S-N]]&gt;0.5,"S","N") &amp; IF(Table1[[#This Row],[T-F]]&gt;0.5,"T","F") &amp; IF(Table1[[#This Row],[J-P]]&gt;0.5,"J","P")</f>
        <v>ISTP</v>
      </c>
      <c r="H253" s="93">
        <f>VALUE(LEFT(Table1[[#This Row],[Class]], FIND(".",Table1[[#This Row],[Class]])-1))</f>
        <v>10</v>
      </c>
      <c r="I253" s="93">
        <f>VALUE(RIGHT(Table1[[#This Row],[Class]],LEN(Table1[[#This Row],[Class]]) - FIND(".",Table1[[#This Row],[Class]])))</f>
        <v>2</v>
      </c>
    </row>
    <row r="254" spans="1:9" ht="21.6" x14ac:dyDescent="0.25">
      <c r="A254" s="10">
        <v>10210</v>
      </c>
      <c r="B254" s="91">
        <v>10.199999999999999</v>
      </c>
      <c r="C254" s="96">
        <v>0.8666666666666667</v>
      </c>
      <c r="D254" s="96">
        <v>0.53333333333333333</v>
      </c>
      <c r="E254" s="96">
        <v>0.26666666666666661</v>
      </c>
      <c r="F254" s="96">
        <v>0.53333333333333333</v>
      </c>
      <c r="G254" s="83" t="str">
        <f>IF(Table1[[#This Row],[I-E]]&gt;0.5,"I","E") &amp; IF(Table1[[#This Row],[S-N]]&gt;0.5,"S","N") &amp; IF(Table1[[#This Row],[T-F]]&gt;0.5,"T","F") &amp; IF(Table1[[#This Row],[J-P]]&gt;0.5,"J","P")</f>
        <v>ISFJ</v>
      </c>
      <c r="H254" s="93">
        <f>VALUE(LEFT(Table1[[#This Row],[Class]], FIND(".",Table1[[#This Row],[Class]])-1))</f>
        <v>10</v>
      </c>
      <c r="I254" s="93">
        <f>VALUE(RIGHT(Table1[[#This Row],[Class]],LEN(Table1[[#This Row],[Class]]) - FIND(".",Table1[[#This Row],[Class]])))</f>
        <v>2</v>
      </c>
    </row>
    <row r="255" spans="1:9" ht="21.6" x14ac:dyDescent="0.25">
      <c r="A255" s="10">
        <v>10211</v>
      </c>
      <c r="B255" s="91">
        <v>10.199999999999999</v>
      </c>
      <c r="C255" s="96">
        <v>0.53333333333333333</v>
      </c>
      <c r="D255" s="96">
        <v>0.8666666666666667</v>
      </c>
      <c r="E255" s="96">
        <v>0.53333333333333333</v>
      </c>
      <c r="F255" s="96">
        <v>0.4</v>
      </c>
      <c r="G255" s="83" t="str">
        <f>IF(Table1[[#This Row],[I-E]]&gt;0.5,"I","E") &amp; IF(Table1[[#This Row],[S-N]]&gt;0.5,"S","N") &amp; IF(Table1[[#This Row],[T-F]]&gt;0.5,"T","F") &amp; IF(Table1[[#This Row],[J-P]]&gt;0.5,"J","P")</f>
        <v>ISTP</v>
      </c>
      <c r="H255" s="93">
        <f>VALUE(LEFT(Table1[[#This Row],[Class]], FIND(".",Table1[[#This Row],[Class]])-1))</f>
        <v>10</v>
      </c>
      <c r="I255" s="93">
        <f>VALUE(RIGHT(Table1[[#This Row],[Class]],LEN(Table1[[#This Row],[Class]]) - FIND(".",Table1[[#This Row],[Class]])))</f>
        <v>2</v>
      </c>
    </row>
    <row r="256" spans="1:9" ht="21.6" x14ac:dyDescent="0.25">
      <c r="A256" s="10">
        <v>10212</v>
      </c>
      <c r="B256" s="91">
        <v>10.199999999999999</v>
      </c>
      <c r="C256" s="96">
        <v>0.4</v>
      </c>
      <c r="D256" s="96">
        <v>0.26666666666666661</v>
      </c>
      <c r="E256" s="96">
        <v>0.53333333333333333</v>
      </c>
      <c r="F256" s="96">
        <v>0.19999999999999996</v>
      </c>
      <c r="G256" s="83" t="str">
        <f>IF(Table1[[#This Row],[I-E]]&gt;0.5,"I","E") &amp; IF(Table1[[#This Row],[S-N]]&gt;0.5,"S","N") &amp; IF(Table1[[#This Row],[T-F]]&gt;0.5,"T","F") &amp; IF(Table1[[#This Row],[J-P]]&gt;0.5,"J","P")</f>
        <v>ENTP</v>
      </c>
      <c r="H256" s="93">
        <f>VALUE(LEFT(Table1[[#This Row],[Class]], FIND(".",Table1[[#This Row],[Class]])-1))</f>
        <v>10</v>
      </c>
      <c r="I256" s="93">
        <f>VALUE(RIGHT(Table1[[#This Row],[Class]],LEN(Table1[[#This Row],[Class]]) - FIND(".",Table1[[#This Row],[Class]])))</f>
        <v>2</v>
      </c>
    </row>
    <row r="257" spans="1:9" ht="21.6" x14ac:dyDescent="0.25">
      <c r="A257" s="10">
        <v>10213</v>
      </c>
      <c r="B257" s="91">
        <v>10.199999999999999</v>
      </c>
      <c r="C257" s="96">
        <v>0.4</v>
      </c>
      <c r="D257" s="96">
        <v>0.1333333333333333</v>
      </c>
      <c r="E257" s="96">
        <v>0.4</v>
      </c>
      <c r="F257" s="96">
        <v>0.19999999999999996</v>
      </c>
      <c r="G257" s="83" t="str">
        <f>IF(Table1[[#This Row],[I-E]]&gt;0.5,"I","E") &amp; IF(Table1[[#This Row],[S-N]]&gt;0.5,"S","N") &amp; IF(Table1[[#This Row],[T-F]]&gt;0.5,"T","F") &amp; IF(Table1[[#This Row],[J-P]]&gt;0.5,"J","P")</f>
        <v>ENFP</v>
      </c>
      <c r="H257" s="93">
        <f>VALUE(LEFT(Table1[[#This Row],[Class]], FIND(".",Table1[[#This Row],[Class]])-1))</f>
        <v>10</v>
      </c>
      <c r="I257" s="93">
        <f>VALUE(RIGHT(Table1[[#This Row],[Class]],LEN(Table1[[#This Row],[Class]]) - FIND(".",Table1[[#This Row],[Class]])))</f>
        <v>2</v>
      </c>
    </row>
    <row r="258" spans="1:9" ht="21.6" x14ac:dyDescent="0.25">
      <c r="A258" s="10">
        <v>10214</v>
      </c>
      <c r="B258" s="91">
        <v>10.199999999999999</v>
      </c>
      <c r="C258" s="96">
        <v>0.46666666666666667</v>
      </c>
      <c r="D258" s="96">
        <v>0.33333333333333326</v>
      </c>
      <c r="E258" s="96">
        <v>0.46666666666666667</v>
      </c>
      <c r="F258" s="96">
        <v>0.6</v>
      </c>
      <c r="G258" s="83" t="str">
        <f>IF(Table1[[#This Row],[I-E]]&gt;0.5,"I","E") &amp; IF(Table1[[#This Row],[S-N]]&gt;0.5,"S","N") &amp; IF(Table1[[#This Row],[T-F]]&gt;0.5,"T","F") &amp; IF(Table1[[#This Row],[J-P]]&gt;0.5,"J","P")</f>
        <v>ENFJ</v>
      </c>
      <c r="H258" s="93">
        <f>VALUE(LEFT(Table1[[#This Row],[Class]], FIND(".",Table1[[#This Row],[Class]])-1))</f>
        <v>10</v>
      </c>
      <c r="I258" s="93">
        <f>VALUE(RIGHT(Table1[[#This Row],[Class]],LEN(Table1[[#This Row],[Class]]) - FIND(".",Table1[[#This Row],[Class]])))</f>
        <v>2</v>
      </c>
    </row>
    <row r="259" spans="1:9" ht="21.6" x14ac:dyDescent="0.25">
      <c r="A259" s="10">
        <v>10215</v>
      </c>
      <c r="B259" s="91">
        <v>10.199999999999999</v>
      </c>
      <c r="C259" s="96">
        <v>0.6</v>
      </c>
      <c r="D259" s="96">
        <v>0.4</v>
      </c>
      <c r="E259" s="96">
        <v>0.6</v>
      </c>
      <c r="F259" s="96">
        <v>0.8666666666666667</v>
      </c>
      <c r="G259" s="83" t="str">
        <f>IF(Table1[[#This Row],[I-E]]&gt;0.5,"I","E") &amp; IF(Table1[[#This Row],[S-N]]&gt;0.5,"S","N") &amp; IF(Table1[[#This Row],[T-F]]&gt;0.5,"T","F") &amp; IF(Table1[[#This Row],[J-P]]&gt;0.5,"J","P")</f>
        <v>INTJ</v>
      </c>
      <c r="H259" s="93">
        <f>VALUE(LEFT(Table1[[#This Row],[Class]], FIND(".",Table1[[#This Row],[Class]])-1))</f>
        <v>10</v>
      </c>
      <c r="I259" s="93">
        <f>VALUE(RIGHT(Table1[[#This Row],[Class]],LEN(Table1[[#This Row],[Class]]) - FIND(".",Table1[[#This Row],[Class]])))</f>
        <v>2</v>
      </c>
    </row>
    <row r="260" spans="1:9" ht="21.6" x14ac:dyDescent="0.25">
      <c r="A260" s="10">
        <v>10216</v>
      </c>
      <c r="B260" s="91">
        <v>10.199999999999999</v>
      </c>
      <c r="C260" s="96">
        <v>0.66666666666666663</v>
      </c>
      <c r="D260" s="96">
        <v>0.6</v>
      </c>
      <c r="E260" s="96">
        <v>0.1333333333333333</v>
      </c>
      <c r="F260" s="96">
        <v>0.4</v>
      </c>
      <c r="G260" s="83" t="str">
        <f>IF(Table1[[#This Row],[I-E]]&gt;0.5,"I","E") &amp; IF(Table1[[#This Row],[S-N]]&gt;0.5,"S","N") &amp; IF(Table1[[#This Row],[T-F]]&gt;0.5,"T","F") &amp; IF(Table1[[#This Row],[J-P]]&gt;0.5,"J","P")</f>
        <v>ISFP</v>
      </c>
      <c r="H260" s="93">
        <f>VALUE(LEFT(Table1[[#This Row],[Class]], FIND(".",Table1[[#This Row],[Class]])-1))</f>
        <v>10</v>
      </c>
      <c r="I260" s="93">
        <f>VALUE(RIGHT(Table1[[#This Row],[Class]],LEN(Table1[[#This Row],[Class]]) - FIND(".",Table1[[#This Row],[Class]])))</f>
        <v>2</v>
      </c>
    </row>
    <row r="261" spans="1:9" ht="21.6" x14ac:dyDescent="0.25">
      <c r="A261" s="10">
        <v>10217</v>
      </c>
      <c r="B261" s="91">
        <v>10.199999999999999</v>
      </c>
      <c r="C261" s="96">
        <v>0.1333333333333333</v>
      </c>
      <c r="D261" s="96">
        <v>0.4</v>
      </c>
      <c r="E261" s="96">
        <v>0.8</v>
      </c>
      <c r="F261" s="96">
        <v>0.4</v>
      </c>
      <c r="G261" s="83" t="str">
        <f>IF(Table1[[#This Row],[I-E]]&gt;0.5,"I","E") &amp; IF(Table1[[#This Row],[S-N]]&gt;0.5,"S","N") &amp; IF(Table1[[#This Row],[T-F]]&gt;0.5,"T","F") &amp; IF(Table1[[#This Row],[J-P]]&gt;0.5,"J","P")</f>
        <v>ENTP</v>
      </c>
      <c r="H261" s="93">
        <f>VALUE(LEFT(Table1[[#This Row],[Class]], FIND(".",Table1[[#This Row],[Class]])-1))</f>
        <v>10</v>
      </c>
      <c r="I261" s="93">
        <f>VALUE(RIGHT(Table1[[#This Row],[Class]],LEN(Table1[[#This Row],[Class]]) - FIND(".",Table1[[#This Row],[Class]])))</f>
        <v>2</v>
      </c>
    </row>
    <row r="262" spans="1:9" ht="21.6" x14ac:dyDescent="0.25">
      <c r="A262" s="10">
        <v>10218</v>
      </c>
      <c r="B262" s="91">
        <v>10.199999999999999</v>
      </c>
      <c r="C262" s="96">
        <v>0.73333333333333328</v>
      </c>
      <c r="D262" s="96">
        <v>0.26666666666666661</v>
      </c>
      <c r="E262" s="96">
        <v>0.8666666666666667</v>
      </c>
      <c r="F262" s="96">
        <v>0.19999999999999996</v>
      </c>
      <c r="G262" s="83" t="str">
        <f>IF(Table1[[#This Row],[I-E]]&gt;0.5,"I","E") &amp; IF(Table1[[#This Row],[S-N]]&gt;0.5,"S","N") &amp; IF(Table1[[#This Row],[T-F]]&gt;0.5,"T","F") &amp; IF(Table1[[#This Row],[J-P]]&gt;0.5,"J","P")</f>
        <v>INTP</v>
      </c>
      <c r="H262" s="93">
        <f>VALUE(LEFT(Table1[[#This Row],[Class]], FIND(".",Table1[[#This Row],[Class]])-1))</f>
        <v>10</v>
      </c>
      <c r="I262" s="93">
        <f>VALUE(RIGHT(Table1[[#This Row],[Class]],LEN(Table1[[#This Row],[Class]]) - FIND(".",Table1[[#This Row],[Class]])))</f>
        <v>2</v>
      </c>
    </row>
    <row r="263" spans="1:9" ht="21.6" x14ac:dyDescent="0.25">
      <c r="A263" s="10">
        <v>10219</v>
      </c>
      <c r="B263" s="91">
        <v>10.199999999999999</v>
      </c>
      <c r="C263" s="96">
        <v>0.53333333333333333</v>
      </c>
      <c r="D263" s="96">
        <v>0.53333333333333333</v>
      </c>
      <c r="E263" s="96">
        <v>0.8</v>
      </c>
      <c r="F263" s="96">
        <v>0.46666666666666667</v>
      </c>
      <c r="G263" s="83" t="str">
        <f>IF(Table1[[#This Row],[I-E]]&gt;0.5,"I","E") &amp; IF(Table1[[#This Row],[S-N]]&gt;0.5,"S","N") &amp; IF(Table1[[#This Row],[T-F]]&gt;0.5,"T","F") &amp; IF(Table1[[#This Row],[J-P]]&gt;0.5,"J","P")</f>
        <v>ISTP</v>
      </c>
      <c r="H263" s="93">
        <f>VALUE(LEFT(Table1[[#This Row],[Class]], FIND(".",Table1[[#This Row],[Class]])-1))</f>
        <v>10</v>
      </c>
      <c r="I263" s="93">
        <f>VALUE(RIGHT(Table1[[#This Row],[Class]],LEN(Table1[[#This Row],[Class]]) - FIND(".",Table1[[#This Row],[Class]])))</f>
        <v>2</v>
      </c>
    </row>
    <row r="264" spans="1:9" ht="21.6" x14ac:dyDescent="0.25">
      <c r="A264" s="10">
        <v>10220</v>
      </c>
      <c r="B264" s="91">
        <v>10.199999999999999</v>
      </c>
      <c r="C264" s="96">
        <v>1</v>
      </c>
      <c r="D264" s="96">
        <v>0.4</v>
      </c>
      <c r="E264" s="96">
        <v>0.6</v>
      </c>
      <c r="F264" s="96">
        <v>0</v>
      </c>
      <c r="G264" s="83" t="str">
        <f>IF(Table1[[#This Row],[I-E]]&gt;0.5,"I","E") &amp; IF(Table1[[#This Row],[S-N]]&gt;0.5,"S","N") &amp; IF(Table1[[#This Row],[T-F]]&gt;0.5,"T","F") &amp; IF(Table1[[#This Row],[J-P]]&gt;0.5,"J","P")</f>
        <v>INTP</v>
      </c>
      <c r="H264" s="93">
        <f>VALUE(LEFT(Table1[[#This Row],[Class]], FIND(".",Table1[[#This Row],[Class]])-1))</f>
        <v>10</v>
      </c>
      <c r="I264" s="93">
        <f>VALUE(RIGHT(Table1[[#This Row],[Class]],LEN(Table1[[#This Row],[Class]]) - FIND(".",Table1[[#This Row],[Class]])))</f>
        <v>2</v>
      </c>
    </row>
    <row r="265" spans="1:9" ht="21.6" x14ac:dyDescent="0.25">
      <c r="A265" s="10">
        <v>10221</v>
      </c>
      <c r="B265" s="91">
        <v>10.199999999999999</v>
      </c>
      <c r="C265" s="96">
        <v>1</v>
      </c>
      <c r="D265" s="96">
        <v>0.4</v>
      </c>
      <c r="E265" s="96">
        <v>0.46666666666666667</v>
      </c>
      <c r="F265" s="96">
        <v>0.8</v>
      </c>
      <c r="G265" s="83" t="str">
        <f>IF(Table1[[#This Row],[I-E]]&gt;0.5,"I","E") &amp; IF(Table1[[#This Row],[S-N]]&gt;0.5,"S","N") &amp; IF(Table1[[#This Row],[T-F]]&gt;0.5,"T","F") &amp; IF(Table1[[#This Row],[J-P]]&gt;0.5,"J","P")</f>
        <v>INFJ</v>
      </c>
      <c r="H265" s="93">
        <f>VALUE(LEFT(Table1[[#This Row],[Class]], FIND(".",Table1[[#This Row],[Class]])-1))</f>
        <v>10</v>
      </c>
      <c r="I265" s="93">
        <f>VALUE(RIGHT(Table1[[#This Row],[Class]],LEN(Table1[[#This Row],[Class]]) - FIND(".",Table1[[#This Row],[Class]])))</f>
        <v>2</v>
      </c>
    </row>
    <row r="266" spans="1:9" ht="21.6" x14ac:dyDescent="0.25">
      <c r="A266" s="10">
        <v>10222</v>
      </c>
      <c r="B266" s="91">
        <v>10.199999999999999</v>
      </c>
      <c r="C266" s="96">
        <v>0.8666666666666667</v>
      </c>
      <c r="D266" s="96">
        <v>0.46666666666666667</v>
      </c>
      <c r="E266" s="96">
        <v>0.4</v>
      </c>
      <c r="F266" s="96">
        <v>0.6</v>
      </c>
      <c r="G266" s="83" t="str">
        <f>IF(Table1[[#This Row],[I-E]]&gt;0.5,"I","E") &amp; IF(Table1[[#This Row],[S-N]]&gt;0.5,"S","N") &amp; IF(Table1[[#This Row],[T-F]]&gt;0.5,"T","F") &amp; IF(Table1[[#This Row],[J-P]]&gt;0.5,"J","P")</f>
        <v>INFJ</v>
      </c>
      <c r="H266" s="93">
        <f>VALUE(LEFT(Table1[[#This Row],[Class]], FIND(".",Table1[[#This Row],[Class]])-1))</f>
        <v>10</v>
      </c>
      <c r="I266" s="93">
        <f>VALUE(RIGHT(Table1[[#This Row],[Class]],LEN(Table1[[#This Row],[Class]]) - FIND(".",Table1[[#This Row],[Class]])))</f>
        <v>2</v>
      </c>
    </row>
    <row r="267" spans="1:9" ht="21.6" x14ac:dyDescent="0.25">
      <c r="A267" s="10">
        <v>10223</v>
      </c>
      <c r="B267" s="91">
        <v>10.199999999999999</v>
      </c>
      <c r="C267" s="96">
        <v>0.46666666666666667</v>
      </c>
      <c r="D267" s="96">
        <v>0.19999999999999996</v>
      </c>
      <c r="E267" s="96">
        <v>0.93333333333333335</v>
      </c>
      <c r="F267" s="96">
        <v>6.6666666666666652E-2</v>
      </c>
      <c r="G267" s="83" t="str">
        <f>IF(Table1[[#This Row],[I-E]]&gt;0.5,"I","E") &amp; IF(Table1[[#This Row],[S-N]]&gt;0.5,"S","N") &amp; IF(Table1[[#This Row],[T-F]]&gt;0.5,"T","F") &amp; IF(Table1[[#This Row],[J-P]]&gt;0.5,"J","P")</f>
        <v>ENTP</v>
      </c>
      <c r="H267" s="93">
        <f>VALUE(LEFT(Table1[[#This Row],[Class]], FIND(".",Table1[[#This Row],[Class]])-1))</f>
        <v>10</v>
      </c>
      <c r="I267" s="93">
        <f>VALUE(RIGHT(Table1[[#This Row],[Class]],LEN(Table1[[#This Row],[Class]]) - FIND(".",Table1[[#This Row],[Class]])))</f>
        <v>2</v>
      </c>
    </row>
    <row r="268" spans="1:9" ht="21.6" x14ac:dyDescent="0.25">
      <c r="A268" s="10">
        <v>10224</v>
      </c>
      <c r="B268" s="91">
        <v>10.199999999999999</v>
      </c>
      <c r="C268" s="96">
        <v>0.73333333333333328</v>
      </c>
      <c r="D268" s="96">
        <v>0.6</v>
      </c>
      <c r="E268" s="96">
        <v>1</v>
      </c>
      <c r="F268" s="96">
        <v>0.6</v>
      </c>
      <c r="G268" s="83" t="str">
        <f>IF(Table1[[#This Row],[I-E]]&gt;0.5,"I","E") &amp; IF(Table1[[#This Row],[S-N]]&gt;0.5,"S","N") &amp; IF(Table1[[#This Row],[T-F]]&gt;0.5,"T","F") &amp; IF(Table1[[#This Row],[J-P]]&gt;0.5,"J","P")</f>
        <v>ISTJ</v>
      </c>
      <c r="H268" s="93">
        <f>VALUE(LEFT(Table1[[#This Row],[Class]], FIND(".",Table1[[#This Row],[Class]])-1))</f>
        <v>10</v>
      </c>
      <c r="I268" s="93">
        <f>VALUE(RIGHT(Table1[[#This Row],[Class]],LEN(Table1[[#This Row],[Class]]) - FIND(".",Table1[[#This Row],[Class]])))</f>
        <v>2</v>
      </c>
    </row>
    <row r="269" spans="1:9" ht="21.6" x14ac:dyDescent="0.25">
      <c r="A269" s="10">
        <v>10225</v>
      </c>
      <c r="B269" s="91">
        <v>10.199999999999999</v>
      </c>
      <c r="C269" s="96">
        <v>0.19999999999999996</v>
      </c>
      <c r="D269" s="96">
        <v>0.26666666666666661</v>
      </c>
      <c r="E269" s="96">
        <v>0.73333333333333328</v>
      </c>
      <c r="F269" s="96">
        <v>0.6</v>
      </c>
      <c r="G269" s="83" t="str">
        <f>IF(Table1[[#This Row],[I-E]]&gt;0.5,"I","E") &amp; IF(Table1[[#This Row],[S-N]]&gt;0.5,"S","N") &amp; IF(Table1[[#This Row],[T-F]]&gt;0.5,"T","F") &amp; IF(Table1[[#This Row],[J-P]]&gt;0.5,"J","P")</f>
        <v>ENTJ</v>
      </c>
      <c r="H269" s="93">
        <f>VALUE(LEFT(Table1[[#This Row],[Class]], FIND(".",Table1[[#This Row],[Class]])-1))</f>
        <v>10</v>
      </c>
      <c r="I269" s="93">
        <f>VALUE(RIGHT(Table1[[#This Row],[Class]],LEN(Table1[[#This Row],[Class]]) - FIND(".",Table1[[#This Row],[Class]])))</f>
        <v>2</v>
      </c>
    </row>
    <row r="270" spans="1:9" ht="21.6" x14ac:dyDescent="0.25">
      <c r="A270" s="10">
        <v>10226</v>
      </c>
      <c r="B270" s="91">
        <v>10.199999999999999</v>
      </c>
      <c r="C270" s="96">
        <v>0.8</v>
      </c>
      <c r="D270" s="96">
        <v>6.6666666666666652E-2</v>
      </c>
      <c r="E270" s="96">
        <v>0.66666666666666663</v>
      </c>
      <c r="F270" s="96">
        <v>0.73333333333333328</v>
      </c>
      <c r="G270" s="83" t="str">
        <f>IF(Table1[[#This Row],[I-E]]&gt;0.5,"I","E") &amp; IF(Table1[[#This Row],[S-N]]&gt;0.5,"S","N") &amp; IF(Table1[[#This Row],[T-F]]&gt;0.5,"T","F") &amp; IF(Table1[[#This Row],[J-P]]&gt;0.5,"J","P")</f>
        <v>INTJ</v>
      </c>
      <c r="H270" s="93">
        <f>VALUE(LEFT(Table1[[#This Row],[Class]], FIND(".",Table1[[#This Row],[Class]])-1))</f>
        <v>10</v>
      </c>
      <c r="I270" s="93">
        <f>VALUE(RIGHT(Table1[[#This Row],[Class]],LEN(Table1[[#This Row],[Class]]) - FIND(".",Table1[[#This Row],[Class]])))</f>
        <v>2</v>
      </c>
    </row>
    <row r="271" spans="1:9" ht="21.6" x14ac:dyDescent="0.25">
      <c r="A271" s="10">
        <v>10227</v>
      </c>
      <c r="B271" s="91">
        <v>10.199999999999999</v>
      </c>
      <c r="C271" s="96">
        <v>0.93333333333333335</v>
      </c>
      <c r="D271" s="96">
        <v>0.8666666666666667</v>
      </c>
      <c r="E271" s="96">
        <v>0.6</v>
      </c>
      <c r="F271" s="96">
        <v>0.73333333333333328</v>
      </c>
      <c r="G271" s="83" t="str">
        <f>IF(Table1[[#This Row],[I-E]]&gt;0.5,"I","E") &amp; IF(Table1[[#This Row],[S-N]]&gt;0.5,"S","N") &amp; IF(Table1[[#This Row],[T-F]]&gt;0.5,"T","F") &amp; IF(Table1[[#This Row],[J-P]]&gt;0.5,"J","P")</f>
        <v>ISTJ</v>
      </c>
      <c r="H271" s="93">
        <f>VALUE(LEFT(Table1[[#This Row],[Class]], FIND(".",Table1[[#This Row],[Class]])-1))</f>
        <v>10</v>
      </c>
      <c r="I271" s="93">
        <f>VALUE(RIGHT(Table1[[#This Row],[Class]],LEN(Table1[[#This Row],[Class]]) - FIND(".",Table1[[#This Row],[Class]])))</f>
        <v>2</v>
      </c>
    </row>
    <row r="272" spans="1:9" ht="21.6" x14ac:dyDescent="0.25">
      <c r="A272" s="10">
        <v>10228</v>
      </c>
      <c r="B272" s="91">
        <v>10.199999999999999</v>
      </c>
      <c r="C272" s="96">
        <v>1</v>
      </c>
      <c r="D272" s="96">
        <v>0.73333333333333328</v>
      </c>
      <c r="E272" s="96">
        <v>0.8666666666666667</v>
      </c>
      <c r="F272" s="96">
        <v>0.66666666666666663</v>
      </c>
      <c r="G272" s="83" t="str">
        <f>IF(Table1[[#This Row],[I-E]]&gt;0.5,"I","E") &amp; IF(Table1[[#This Row],[S-N]]&gt;0.5,"S","N") &amp; IF(Table1[[#This Row],[T-F]]&gt;0.5,"T","F") &amp; IF(Table1[[#This Row],[J-P]]&gt;0.5,"J","P")</f>
        <v>ISTJ</v>
      </c>
      <c r="H272" s="93">
        <f>VALUE(LEFT(Table1[[#This Row],[Class]], FIND(".",Table1[[#This Row],[Class]])-1))</f>
        <v>10</v>
      </c>
      <c r="I272" s="93">
        <f>VALUE(RIGHT(Table1[[#This Row],[Class]],LEN(Table1[[#This Row],[Class]]) - FIND(".",Table1[[#This Row],[Class]])))</f>
        <v>2</v>
      </c>
    </row>
    <row r="273" spans="1:9" ht="21.6" x14ac:dyDescent="0.25">
      <c r="A273" s="10">
        <v>10229</v>
      </c>
      <c r="B273" s="91">
        <v>10.199999999999999</v>
      </c>
      <c r="C273" s="96">
        <v>0.46666666666666667</v>
      </c>
      <c r="D273" s="96">
        <v>0.1333333333333333</v>
      </c>
      <c r="E273" s="96">
        <v>0.93333333333333335</v>
      </c>
      <c r="F273" s="96">
        <v>0.46666666666666667</v>
      </c>
      <c r="G273" s="83" t="str">
        <f>IF(Table1[[#This Row],[I-E]]&gt;0.5,"I","E") &amp; IF(Table1[[#This Row],[S-N]]&gt;0.5,"S","N") &amp; IF(Table1[[#This Row],[T-F]]&gt;0.5,"T","F") &amp; IF(Table1[[#This Row],[J-P]]&gt;0.5,"J","P")</f>
        <v>ENTP</v>
      </c>
      <c r="H273" s="93">
        <f>VALUE(LEFT(Table1[[#This Row],[Class]], FIND(".",Table1[[#This Row],[Class]])-1))</f>
        <v>10</v>
      </c>
      <c r="I273" s="93">
        <f>VALUE(RIGHT(Table1[[#This Row],[Class]],LEN(Table1[[#This Row],[Class]]) - FIND(".",Table1[[#This Row],[Class]])))</f>
        <v>2</v>
      </c>
    </row>
    <row r="274" spans="1:9" ht="21.6" x14ac:dyDescent="0.25">
      <c r="A274" s="10">
        <v>10230</v>
      </c>
      <c r="B274" s="91">
        <v>10.199999999999999</v>
      </c>
      <c r="C274" s="96">
        <v>0.6</v>
      </c>
      <c r="D274" s="96">
        <v>0.33333333333333326</v>
      </c>
      <c r="E274" s="96">
        <v>0.6</v>
      </c>
      <c r="F274" s="96">
        <v>0.6</v>
      </c>
      <c r="G274" s="83" t="str">
        <f>IF(Table1[[#This Row],[I-E]]&gt;0.5,"I","E") &amp; IF(Table1[[#This Row],[S-N]]&gt;0.5,"S","N") &amp; IF(Table1[[#This Row],[T-F]]&gt;0.5,"T","F") &amp; IF(Table1[[#This Row],[J-P]]&gt;0.5,"J","P")</f>
        <v>INTJ</v>
      </c>
      <c r="H274" s="93">
        <f>VALUE(LEFT(Table1[[#This Row],[Class]], FIND(".",Table1[[#This Row],[Class]])-1))</f>
        <v>10</v>
      </c>
      <c r="I274" s="93">
        <f>VALUE(RIGHT(Table1[[#This Row],[Class]],LEN(Table1[[#This Row],[Class]]) - FIND(".",Table1[[#This Row],[Class]])))</f>
        <v>2</v>
      </c>
    </row>
    <row r="275" spans="1:9" ht="21.6" x14ac:dyDescent="0.25">
      <c r="A275" s="10">
        <v>10231</v>
      </c>
      <c r="B275" s="91">
        <v>10.199999999999999</v>
      </c>
      <c r="C275" s="96">
        <v>0.4</v>
      </c>
      <c r="D275" s="96">
        <v>0.46666666666666667</v>
      </c>
      <c r="E275" s="96">
        <v>0.8</v>
      </c>
      <c r="F275" s="96">
        <v>0.53333333333333333</v>
      </c>
      <c r="G275" s="83" t="str">
        <f>IF(Table1[[#This Row],[I-E]]&gt;0.5,"I","E") &amp; IF(Table1[[#This Row],[S-N]]&gt;0.5,"S","N") &amp; IF(Table1[[#This Row],[T-F]]&gt;0.5,"T","F") &amp; IF(Table1[[#This Row],[J-P]]&gt;0.5,"J","P")</f>
        <v>ENTJ</v>
      </c>
      <c r="H275" s="93">
        <f>VALUE(LEFT(Table1[[#This Row],[Class]], FIND(".",Table1[[#This Row],[Class]])-1))</f>
        <v>10</v>
      </c>
      <c r="I275" s="93">
        <f>VALUE(RIGHT(Table1[[#This Row],[Class]],LEN(Table1[[#This Row],[Class]]) - FIND(".",Table1[[#This Row],[Class]])))</f>
        <v>2</v>
      </c>
    </row>
    <row r="276" spans="1:9" ht="21.6" x14ac:dyDescent="0.25">
      <c r="A276" s="10">
        <v>11101</v>
      </c>
      <c r="B276" s="91">
        <v>11.1</v>
      </c>
      <c r="C276" s="96">
        <v>0.66666666666666663</v>
      </c>
      <c r="D276" s="96">
        <v>0.66666666666666663</v>
      </c>
      <c r="E276" s="96">
        <v>0.8</v>
      </c>
      <c r="F276" s="96">
        <v>0.66666666666666663</v>
      </c>
      <c r="G276" s="83" t="str">
        <f>IF(Table1[[#This Row],[I-E]]&gt;0.5,"I","E") &amp; IF(Table1[[#This Row],[S-N]]&gt;0.5,"S","N") &amp; IF(Table1[[#This Row],[T-F]]&gt;0.5,"T","F") &amp; IF(Table1[[#This Row],[J-P]]&gt;0.5,"J","P")</f>
        <v>ISTJ</v>
      </c>
      <c r="H276" s="93">
        <f>VALUE(LEFT(Table1[[#This Row],[Class]], FIND(".",Table1[[#This Row],[Class]])-1))</f>
        <v>11</v>
      </c>
      <c r="I276" s="93">
        <f>VALUE(RIGHT(Table1[[#This Row],[Class]],LEN(Table1[[#This Row],[Class]]) - FIND(".",Table1[[#This Row],[Class]])))</f>
        <v>1</v>
      </c>
    </row>
    <row r="277" spans="1:9" ht="21.6" x14ac:dyDescent="0.25">
      <c r="A277" s="10">
        <v>11102</v>
      </c>
      <c r="B277" s="91">
        <v>11.1</v>
      </c>
      <c r="C277" s="96">
        <v>0.8</v>
      </c>
      <c r="D277" s="96">
        <v>0.46666666666666667</v>
      </c>
      <c r="E277" s="96">
        <v>0.93333333333333335</v>
      </c>
      <c r="F277" s="96">
        <v>0.4</v>
      </c>
      <c r="G277" s="83" t="str">
        <f>IF(Table1[[#This Row],[I-E]]&gt;0.5,"I","E") &amp; IF(Table1[[#This Row],[S-N]]&gt;0.5,"S","N") &amp; IF(Table1[[#This Row],[T-F]]&gt;0.5,"T","F") &amp; IF(Table1[[#This Row],[J-P]]&gt;0.5,"J","P")</f>
        <v>INTP</v>
      </c>
      <c r="H277" s="93">
        <f>VALUE(LEFT(Table1[[#This Row],[Class]], FIND(".",Table1[[#This Row],[Class]])-1))</f>
        <v>11</v>
      </c>
      <c r="I277" s="93">
        <f>VALUE(RIGHT(Table1[[#This Row],[Class]],LEN(Table1[[#This Row],[Class]]) - FIND(".",Table1[[#This Row],[Class]])))</f>
        <v>1</v>
      </c>
    </row>
    <row r="278" spans="1:9" ht="21.6" x14ac:dyDescent="0.25">
      <c r="A278" s="10">
        <v>11103</v>
      </c>
      <c r="B278" s="91">
        <v>11.1</v>
      </c>
      <c r="C278" s="96">
        <v>0.73333333333333328</v>
      </c>
      <c r="D278" s="96">
        <v>0.53333333333333333</v>
      </c>
      <c r="E278" s="96">
        <v>1</v>
      </c>
      <c r="F278" s="96">
        <v>0.46666666666666667</v>
      </c>
      <c r="G278" s="83" t="str">
        <f>IF(Table1[[#This Row],[I-E]]&gt;0.5,"I","E") &amp; IF(Table1[[#This Row],[S-N]]&gt;0.5,"S","N") &amp; IF(Table1[[#This Row],[T-F]]&gt;0.5,"T","F") &amp; IF(Table1[[#This Row],[J-P]]&gt;0.5,"J","P")</f>
        <v>ISTP</v>
      </c>
      <c r="H278" s="93">
        <f>VALUE(LEFT(Table1[[#This Row],[Class]], FIND(".",Table1[[#This Row],[Class]])-1))</f>
        <v>11</v>
      </c>
      <c r="I278" s="93">
        <f>VALUE(RIGHT(Table1[[#This Row],[Class]],LEN(Table1[[#This Row],[Class]]) - FIND(".",Table1[[#This Row],[Class]])))</f>
        <v>1</v>
      </c>
    </row>
    <row r="279" spans="1:9" ht="21.6" x14ac:dyDescent="0.25">
      <c r="A279" s="10">
        <v>11104</v>
      </c>
      <c r="B279" s="91">
        <v>11.1</v>
      </c>
      <c r="C279" s="96">
        <v>0.66666666666666663</v>
      </c>
      <c r="D279" s="96">
        <v>0.46666666666666667</v>
      </c>
      <c r="E279" s="96">
        <v>0.8</v>
      </c>
      <c r="F279" s="96">
        <v>0.73333333333333328</v>
      </c>
      <c r="G279" s="83" t="str">
        <f>IF(Table1[[#This Row],[I-E]]&gt;0.5,"I","E") &amp; IF(Table1[[#This Row],[S-N]]&gt;0.5,"S","N") &amp; IF(Table1[[#This Row],[T-F]]&gt;0.5,"T","F") &amp; IF(Table1[[#This Row],[J-P]]&gt;0.5,"J","P")</f>
        <v>INTJ</v>
      </c>
      <c r="H279" s="93">
        <f>VALUE(LEFT(Table1[[#This Row],[Class]], FIND(".",Table1[[#This Row],[Class]])-1))</f>
        <v>11</v>
      </c>
      <c r="I279" s="93">
        <f>VALUE(RIGHT(Table1[[#This Row],[Class]],LEN(Table1[[#This Row],[Class]]) - FIND(".",Table1[[#This Row],[Class]])))</f>
        <v>1</v>
      </c>
    </row>
    <row r="280" spans="1:9" ht="21.6" x14ac:dyDescent="0.25">
      <c r="A280" s="10">
        <v>11105</v>
      </c>
      <c r="B280" s="91">
        <v>11.1</v>
      </c>
      <c r="C280" s="96">
        <v>0.66666666666666663</v>
      </c>
      <c r="D280" s="96">
        <v>0.46666666666666667</v>
      </c>
      <c r="E280" s="96">
        <v>0.53333333333333333</v>
      </c>
      <c r="F280" s="96">
        <v>0.93333333333333335</v>
      </c>
      <c r="G280" s="83" t="str">
        <f>IF(Table1[[#This Row],[I-E]]&gt;0.5,"I","E") &amp; IF(Table1[[#This Row],[S-N]]&gt;0.5,"S","N") &amp; IF(Table1[[#This Row],[T-F]]&gt;0.5,"T","F") &amp; IF(Table1[[#This Row],[J-P]]&gt;0.5,"J","P")</f>
        <v>INTJ</v>
      </c>
      <c r="H280" s="93">
        <f>VALUE(LEFT(Table1[[#This Row],[Class]], FIND(".",Table1[[#This Row],[Class]])-1))</f>
        <v>11</v>
      </c>
      <c r="I280" s="93">
        <f>VALUE(RIGHT(Table1[[#This Row],[Class]],LEN(Table1[[#This Row],[Class]]) - FIND(".",Table1[[#This Row],[Class]])))</f>
        <v>1</v>
      </c>
    </row>
    <row r="281" spans="1:9" ht="21.6" x14ac:dyDescent="0.25">
      <c r="A281" s="10">
        <v>11106</v>
      </c>
      <c r="B281" s="91">
        <v>11.1</v>
      </c>
      <c r="C281" s="96">
        <v>0.66666666666666663</v>
      </c>
      <c r="D281" s="96">
        <v>0.4</v>
      </c>
      <c r="E281" s="96">
        <v>0.8666666666666667</v>
      </c>
      <c r="F281" s="96">
        <v>0.4</v>
      </c>
      <c r="G281" s="83" t="str">
        <f>IF(Table1[[#This Row],[I-E]]&gt;0.5,"I","E") &amp; IF(Table1[[#This Row],[S-N]]&gt;0.5,"S","N") &amp; IF(Table1[[#This Row],[T-F]]&gt;0.5,"T","F") &amp; IF(Table1[[#This Row],[J-P]]&gt;0.5,"J","P")</f>
        <v>INTP</v>
      </c>
      <c r="H281" s="93">
        <f>VALUE(LEFT(Table1[[#This Row],[Class]], FIND(".",Table1[[#This Row],[Class]])-1))</f>
        <v>11</v>
      </c>
      <c r="I281" s="93">
        <f>VALUE(RIGHT(Table1[[#This Row],[Class]],LEN(Table1[[#This Row],[Class]]) - FIND(".",Table1[[#This Row],[Class]])))</f>
        <v>1</v>
      </c>
    </row>
    <row r="282" spans="1:9" ht="21.6" x14ac:dyDescent="0.25">
      <c r="A282" s="10">
        <v>11107</v>
      </c>
      <c r="B282" s="91">
        <v>11.1</v>
      </c>
      <c r="C282" s="96">
        <v>0.4</v>
      </c>
      <c r="D282" s="96">
        <v>0.4</v>
      </c>
      <c r="E282" s="96">
        <v>0.8</v>
      </c>
      <c r="F282" s="96">
        <v>0.8</v>
      </c>
      <c r="G282" s="83" t="str">
        <f>IF(Table1[[#This Row],[I-E]]&gt;0.5,"I","E") &amp; IF(Table1[[#This Row],[S-N]]&gt;0.5,"S","N") &amp; IF(Table1[[#This Row],[T-F]]&gt;0.5,"T","F") &amp; IF(Table1[[#This Row],[J-P]]&gt;0.5,"J","P")</f>
        <v>ENTJ</v>
      </c>
      <c r="H282" s="93">
        <f>VALUE(LEFT(Table1[[#This Row],[Class]], FIND(".",Table1[[#This Row],[Class]])-1))</f>
        <v>11</v>
      </c>
      <c r="I282" s="93">
        <f>VALUE(RIGHT(Table1[[#This Row],[Class]],LEN(Table1[[#This Row],[Class]]) - FIND(".",Table1[[#This Row],[Class]])))</f>
        <v>1</v>
      </c>
    </row>
    <row r="283" spans="1:9" ht="21.6" x14ac:dyDescent="0.25">
      <c r="A283" s="10">
        <v>11108</v>
      </c>
      <c r="B283" s="91">
        <v>11.1</v>
      </c>
      <c r="C283" s="96">
        <v>0.66666666666666663</v>
      </c>
      <c r="D283" s="96">
        <v>0.33333333333333326</v>
      </c>
      <c r="E283" s="96">
        <v>0.66666666666666663</v>
      </c>
      <c r="F283" s="96">
        <v>0.93333333333333335</v>
      </c>
      <c r="G283" s="83" t="str">
        <f>IF(Table1[[#This Row],[I-E]]&gt;0.5,"I","E") &amp; IF(Table1[[#This Row],[S-N]]&gt;0.5,"S","N") &amp; IF(Table1[[#This Row],[T-F]]&gt;0.5,"T","F") &amp; IF(Table1[[#This Row],[J-P]]&gt;0.5,"J","P")</f>
        <v>INTJ</v>
      </c>
      <c r="H283" s="93">
        <f>VALUE(LEFT(Table1[[#This Row],[Class]], FIND(".",Table1[[#This Row],[Class]])-1))</f>
        <v>11</v>
      </c>
      <c r="I283" s="93">
        <f>VALUE(RIGHT(Table1[[#This Row],[Class]],LEN(Table1[[#This Row],[Class]]) - FIND(".",Table1[[#This Row],[Class]])))</f>
        <v>1</v>
      </c>
    </row>
    <row r="284" spans="1:9" ht="21.6" x14ac:dyDescent="0.25">
      <c r="A284" s="10">
        <v>11109</v>
      </c>
      <c r="B284" s="91">
        <v>11.1</v>
      </c>
      <c r="C284" s="96">
        <v>0.8</v>
      </c>
      <c r="D284" s="96">
        <v>0.46666666666666667</v>
      </c>
      <c r="E284" s="96">
        <v>0.8</v>
      </c>
      <c r="F284" s="96">
        <v>0.46666666666666667</v>
      </c>
      <c r="G284" s="83" t="str">
        <f>IF(Table1[[#This Row],[I-E]]&gt;0.5,"I","E") &amp; IF(Table1[[#This Row],[S-N]]&gt;0.5,"S","N") &amp; IF(Table1[[#This Row],[T-F]]&gt;0.5,"T","F") &amp; IF(Table1[[#This Row],[J-P]]&gt;0.5,"J","P")</f>
        <v>INTP</v>
      </c>
      <c r="H284" s="93">
        <f>VALUE(LEFT(Table1[[#This Row],[Class]], FIND(".",Table1[[#This Row],[Class]])-1))</f>
        <v>11</v>
      </c>
      <c r="I284" s="93">
        <f>VALUE(RIGHT(Table1[[#This Row],[Class]],LEN(Table1[[#This Row],[Class]]) - FIND(".",Table1[[#This Row],[Class]])))</f>
        <v>1</v>
      </c>
    </row>
    <row r="285" spans="1:9" ht="21.6" x14ac:dyDescent="0.25">
      <c r="A285" s="10">
        <v>11110</v>
      </c>
      <c r="B285" s="91">
        <v>11.1</v>
      </c>
      <c r="C285" s="96">
        <v>0.66666666666666663</v>
      </c>
      <c r="D285" s="96">
        <v>0.46666666666666667</v>
      </c>
      <c r="E285" s="96">
        <v>0.6</v>
      </c>
      <c r="F285" s="96">
        <v>0.73333333333333328</v>
      </c>
      <c r="G285" s="83" t="str">
        <f>IF(Table1[[#This Row],[I-E]]&gt;0.5,"I","E") &amp; IF(Table1[[#This Row],[S-N]]&gt;0.5,"S","N") &amp; IF(Table1[[#This Row],[T-F]]&gt;0.5,"T","F") &amp; IF(Table1[[#This Row],[J-P]]&gt;0.5,"J","P")</f>
        <v>INTJ</v>
      </c>
      <c r="H285" s="93">
        <f>VALUE(LEFT(Table1[[#This Row],[Class]], FIND(".",Table1[[#This Row],[Class]])-1))</f>
        <v>11</v>
      </c>
      <c r="I285" s="93">
        <f>VALUE(RIGHT(Table1[[#This Row],[Class]],LEN(Table1[[#This Row],[Class]]) - FIND(".",Table1[[#This Row],[Class]])))</f>
        <v>1</v>
      </c>
    </row>
    <row r="286" spans="1:9" ht="21.6" x14ac:dyDescent="0.25">
      <c r="A286" s="10">
        <v>11111</v>
      </c>
      <c r="B286" s="91">
        <v>11.1</v>
      </c>
      <c r="C286" s="96">
        <v>0.6</v>
      </c>
      <c r="D286" s="96">
        <v>0.46666666666666667</v>
      </c>
      <c r="E286" s="96">
        <v>0.73333333333333328</v>
      </c>
      <c r="F286" s="96">
        <v>0.6</v>
      </c>
      <c r="G286" s="83" t="str">
        <f>IF(Table1[[#This Row],[I-E]]&gt;0.5,"I","E") &amp; IF(Table1[[#This Row],[S-N]]&gt;0.5,"S","N") &amp; IF(Table1[[#This Row],[T-F]]&gt;0.5,"T","F") &amp; IF(Table1[[#This Row],[J-P]]&gt;0.5,"J","P")</f>
        <v>INTJ</v>
      </c>
      <c r="H286" s="93">
        <f>VALUE(LEFT(Table1[[#This Row],[Class]], FIND(".",Table1[[#This Row],[Class]])-1))</f>
        <v>11</v>
      </c>
      <c r="I286" s="93">
        <f>VALUE(RIGHT(Table1[[#This Row],[Class]],LEN(Table1[[#This Row],[Class]]) - FIND(".",Table1[[#This Row],[Class]])))</f>
        <v>1</v>
      </c>
    </row>
    <row r="287" spans="1:9" ht="21.6" x14ac:dyDescent="0.25">
      <c r="A287" s="10">
        <v>11112</v>
      </c>
      <c r="B287" s="91">
        <v>11.1</v>
      </c>
      <c r="C287" s="96">
        <v>0.6</v>
      </c>
      <c r="D287" s="96">
        <v>0.53333333333333333</v>
      </c>
      <c r="E287" s="96">
        <v>0.93333333333333335</v>
      </c>
      <c r="F287" s="96">
        <v>0.19999999999999996</v>
      </c>
      <c r="G287" s="83" t="str">
        <f>IF(Table1[[#This Row],[I-E]]&gt;0.5,"I","E") &amp; IF(Table1[[#This Row],[S-N]]&gt;0.5,"S","N") &amp; IF(Table1[[#This Row],[T-F]]&gt;0.5,"T","F") &amp; IF(Table1[[#This Row],[J-P]]&gt;0.5,"J","P")</f>
        <v>ISTP</v>
      </c>
      <c r="H287" s="93">
        <f>VALUE(LEFT(Table1[[#This Row],[Class]], FIND(".",Table1[[#This Row],[Class]])-1))</f>
        <v>11</v>
      </c>
      <c r="I287" s="93">
        <f>VALUE(RIGHT(Table1[[#This Row],[Class]],LEN(Table1[[#This Row],[Class]]) - FIND(".",Table1[[#This Row],[Class]])))</f>
        <v>1</v>
      </c>
    </row>
    <row r="288" spans="1:9" ht="21.6" x14ac:dyDescent="0.25">
      <c r="A288" s="10">
        <v>11113</v>
      </c>
      <c r="B288" s="91">
        <v>11.1</v>
      </c>
      <c r="C288" s="96">
        <v>0.53333333333333333</v>
      </c>
      <c r="D288" s="96">
        <v>0.66666666666666663</v>
      </c>
      <c r="E288" s="96">
        <v>0.66666666666666663</v>
      </c>
      <c r="F288" s="96">
        <v>0.53333333333333333</v>
      </c>
      <c r="G288" s="83" t="str">
        <f>IF(Table1[[#This Row],[I-E]]&gt;0.5,"I","E") &amp; IF(Table1[[#This Row],[S-N]]&gt;0.5,"S","N") &amp; IF(Table1[[#This Row],[T-F]]&gt;0.5,"T","F") &amp; IF(Table1[[#This Row],[J-P]]&gt;0.5,"J","P")</f>
        <v>ISTJ</v>
      </c>
      <c r="H288" s="93">
        <f>VALUE(LEFT(Table1[[#This Row],[Class]], FIND(".",Table1[[#This Row],[Class]])-1))</f>
        <v>11</v>
      </c>
      <c r="I288" s="93">
        <f>VALUE(RIGHT(Table1[[#This Row],[Class]],LEN(Table1[[#This Row],[Class]]) - FIND(".",Table1[[#This Row],[Class]])))</f>
        <v>1</v>
      </c>
    </row>
    <row r="289" spans="1:9" ht="21.6" x14ac:dyDescent="0.25">
      <c r="A289" s="10">
        <v>11114</v>
      </c>
      <c r="B289" s="91">
        <v>11.1</v>
      </c>
      <c r="C289" s="96">
        <v>0.46666666666666667</v>
      </c>
      <c r="D289" s="96">
        <v>0.33333333333333326</v>
      </c>
      <c r="E289" s="96">
        <v>0.93333333333333335</v>
      </c>
      <c r="F289" s="96">
        <v>0.4</v>
      </c>
      <c r="G289" s="83" t="str">
        <f>IF(Table1[[#This Row],[I-E]]&gt;0.5,"I","E") &amp; IF(Table1[[#This Row],[S-N]]&gt;0.5,"S","N") &amp; IF(Table1[[#This Row],[T-F]]&gt;0.5,"T","F") &amp; IF(Table1[[#This Row],[J-P]]&gt;0.5,"J","P")</f>
        <v>ENTP</v>
      </c>
      <c r="H289" s="93">
        <f>VALUE(LEFT(Table1[[#This Row],[Class]], FIND(".",Table1[[#This Row],[Class]])-1))</f>
        <v>11</v>
      </c>
      <c r="I289" s="93">
        <f>VALUE(RIGHT(Table1[[#This Row],[Class]],LEN(Table1[[#This Row],[Class]]) - FIND(".",Table1[[#This Row],[Class]])))</f>
        <v>1</v>
      </c>
    </row>
    <row r="290" spans="1:9" ht="21.6" x14ac:dyDescent="0.25">
      <c r="A290" s="10">
        <v>11115</v>
      </c>
      <c r="B290" s="91">
        <v>11.1</v>
      </c>
      <c r="C290" s="96">
        <v>0.6</v>
      </c>
      <c r="D290" s="96">
        <v>0.66666666666666663</v>
      </c>
      <c r="E290" s="96">
        <v>1</v>
      </c>
      <c r="F290" s="96">
        <v>0.66666666666666663</v>
      </c>
      <c r="G290" s="83" t="str">
        <f>IF(Table1[[#This Row],[I-E]]&gt;0.5,"I","E") &amp; IF(Table1[[#This Row],[S-N]]&gt;0.5,"S","N") &amp; IF(Table1[[#This Row],[T-F]]&gt;0.5,"T","F") &amp; IF(Table1[[#This Row],[J-P]]&gt;0.5,"J","P")</f>
        <v>ISTJ</v>
      </c>
      <c r="H290" s="93">
        <f>VALUE(LEFT(Table1[[#This Row],[Class]], FIND(".",Table1[[#This Row],[Class]])-1))</f>
        <v>11</v>
      </c>
      <c r="I290" s="93">
        <f>VALUE(RIGHT(Table1[[#This Row],[Class]],LEN(Table1[[#This Row],[Class]]) - FIND(".",Table1[[#This Row],[Class]])))</f>
        <v>1</v>
      </c>
    </row>
    <row r="291" spans="1:9" ht="21.6" x14ac:dyDescent="0.25">
      <c r="A291" s="10">
        <v>11116</v>
      </c>
      <c r="B291" s="91">
        <v>11.1</v>
      </c>
      <c r="C291" s="96">
        <v>0.73333333333333328</v>
      </c>
      <c r="D291" s="96">
        <v>0.4</v>
      </c>
      <c r="E291" s="96">
        <v>0.93333333333333335</v>
      </c>
      <c r="F291" s="96">
        <v>0.66666666666666663</v>
      </c>
      <c r="G291" s="83" t="str">
        <f>IF(Table1[[#This Row],[I-E]]&gt;0.5,"I","E") &amp; IF(Table1[[#This Row],[S-N]]&gt;0.5,"S","N") &amp; IF(Table1[[#This Row],[T-F]]&gt;0.5,"T","F") &amp; IF(Table1[[#This Row],[J-P]]&gt;0.5,"J","P")</f>
        <v>INTJ</v>
      </c>
      <c r="H291" s="93">
        <f>VALUE(LEFT(Table1[[#This Row],[Class]], FIND(".",Table1[[#This Row],[Class]])-1))</f>
        <v>11</v>
      </c>
      <c r="I291" s="93">
        <f>VALUE(RIGHT(Table1[[#This Row],[Class]],LEN(Table1[[#This Row],[Class]]) - FIND(".",Table1[[#This Row],[Class]])))</f>
        <v>1</v>
      </c>
    </row>
    <row r="292" spans="1:9" ht="21.6" x14ac:dyDescent="0.25">
      <c r="A292" s="10">
        <v>11117</v>
      </c>
      <c r="B292" s="91">
        <v>11.1</v>
      </c>
      <c r="C292" s="96">
        <v>0.33333333333333326</v>
      </c>
      <c r="D292" s="96">
        <v>0.6</v>
      </c>
      <c r="E292" s="96">
        <v>0.73333333333333328</v>
      </c>
      <c r="F292" s="96">
        <v>0.6</v>
      </c>
      <c r="G292" s="83" t="str">
        <f>IF(Table1[[#This Row],[I-E]]&gt;0.5,"I","E") &amp; IF(Table1[[#This Row],[S-N]]&gt;0.5,"S","N") &amp; IF(Table1[[#This Row],[T-F]]&gt;0.5,"T","F") &amp; IF(Table1[[#This Row],[J-P]]&gt;0.5,"J","P")</f>
        <v>ESTJ</v>
      </c>
      <c r="H292" s="93">
        <f>VALUE(LEFT(Table1[[#This Row],[Class]], FIND(".",Table1[[#This Row],[Class]])-1))</f>
        <v>11</v>
      </c>
      <c r="I292" s="93">
        <f>VALUE(RIGHT(Table1[[#This Row],[Class]],LEN(Table1[[#This Row],[Class]]) - FIND(".",Table1[[#This Row],[Class]])))</f>
        <v>1</v>
      </c>
    </row>
    <row r="293" spans="1:9" ht="21.6" x14ac:dyDescent="0.25">
      <c r="A293" s="10">
        <v>11118</v>
      </c>
      <c r="B293" s="91">
        <v>11.1</v>
      </c>
      <c r="C293" s="96">
        <v>0.8</v>
      </c>
      <c r="D293" s="96">
        <v>0.66666666666666663</v>
      </c>
      <c r="E293" s="96">
        <v>0.6</v>
      </c>
      <c r="F293" s="96">
        <v>0.4</v>
      </c>
      <c r="G293" s="83" t="str">
        <f>IF(Table1[[#This Row],[I-E]]&gt;0.5,"I","E") &amp; IF(Table1[[#This Row],[S-N]]&gt;0.5,"S","N") &amp; IF(Table1[[#This Row],[T-F]]&gt;0.5,"T","F") &amp; IF(Table1[[#This Row],[J-P]]&gt;0.5,"J","P")</f>
        <v>ISTP</v>
      </c>
      <c r="H293" s="93">
        <f>VALUE(LEFT(Table1[[#This Row],[Class]], FIND(".",Table1[[#This Row],[Class]])-1))</f>
        <v>11</v>
      </c>
      <c r="I293" s="93">
        <f>VALUE(RIGHT(Table1[[#This Row],[Class]],LEN(Table1[[#This Row],[Class]]) - FIND(".",Table1[[#This Row],[Class]])))</f>
        <v>1</v>
      </c>
    </row>
    <row r="294" spans="1:9" ht="21.6" x14ac:dyDescent="0.25">
      <c r="A294" s="10">
        <v>11119</v>
      </c>
      <c r="B294" s="91">
        <v>11.1</v>
      </c>
      <c r="C294" s="96">
        <v>0.53333333333333333</v>
      </c>
      <c r="D294" s="96">
        <v>0.66666666666666663</v>
      </c>
      <c r="E294" s="96">
        <v>0.73333333333333328</v>
      </c>
      <c r="F294" s="96">
        <v>0.66666666666666663</v>
      </c>
      <c r="G294" s="83" t="str">
        <f>IF(Table1[[#This Row],[I-E]]&gt;0.5,"I","E") &amp; IF(Table1[[#This Row],[S-N]]&gt;0.5,"S","N") &amp; IF(Table1[[#This Row],[T-F]]&gt;0.5,"T","F") &amp; IF(Table1[[#This Row],[J-P]]&gt;0.5,"J","P")</f>
        <v>ISTJ</v>
      </c>
      <c r="H294" s="93">
        <f>VALUE(LEFT(Table1[[#This Row],[Class]], FIND(".",Table1[[#This Row],[Class]])-1))</f>
        <v>11</v>
      </c>
      <c r="I294" s="93">
        <f>VALUE(RIGHT(Table1[[#This Row],[Class]],LEN(Table1[[#This Row],[Class]]) - FIND(".",Table1[[#This Row],[Class]])))</f>
        <v>1</v>
      </c>
    </row>
    <row r="295" spans="1:9" ht="21.6" x14ac:dyDescent="0.25">
      <c r="A295" s="10">
        <v>11120</v>
      </c>
      <c r="B295" s="91">
        <v>11.1</v>
      </c>
      <c r="C295" s="96">
        <v>0.4</v>
      </c>
      <c r="D295" s="96">
        <v>0.6</v>
      </c>
      <c r="E295" s="96">
        <v>0.93333333333333335</v>
      </c>
      <c r="F295" s="96">
        <v>0.66666666666666663</v>
      </c>
      <c r="G295" s="83" t="str">
        <f>IF(Table1[[#This Row],[I-E]]&gt;0.5,"I","E") &amp; IF(Table1[[#This Row],[S-N]]&gt;0.5,"S","N") &amp; IF(Table1[[#This Row],[T-F]]&gt;0.5,"T","F") &amp; IF(Table1[[#This Row],[J-P]]&gt;0.5,"J","P")</f>
        <v>ESTJ</v>
      </c>
      <c r="H295" s="93">
        <f>VALUE(LEFT(Table1[[#This Row],[Class]], FIND(".",Table1[[#This Row],[Class]])-1))</f>
        <v>11</v>
      </c>
      <c r="I295" s="93">
        <f>VALUE(RIGHT(Table1[[#This Row],[Class]],LEN(Table1[[#This Row],[Class]]) - FIND(".",Table1[[#This Row],[Class]])))</f>
        <v>1</v>
      </c>
    </row>
    <row r="296" spans="1:9" ht="21.6" x14ac:dyDescent="0.25">
      <c r="A296" s="10">
        <v>11121</v>
      </c>
      <c r="B296" s="91">
        <v>11.1</v>
      </c>
      <c r="C296" s="96">
        <v>0.8</v>
      </c>
      <c r="D296" s="96">
        <v>0.4</v>
      </c>
      <c r="E296" s="96">
        <v>0.8666666666666667</v>
      </c>
      <c r="F296" s="96">
        <v>0.4</v>
      </c>
      <c r="G296" s="83" t="str">
        <f>IF(Table1[[#This Row],[I-E]]&gt;0.5,"I","E") &amp; IF(Table1[[#This Row],[S-N]]&gt;0.5,"S","N") &amp; IF(Table1[[#This Row],[T-F]]&gt;0.5,"T","F") &amp; IF(Table1[[#This Row],[J-P]]&gt;0.5,"J","P")</f>
        <v>INTP</v>
      </c>
      <c r="H296" s="93">
        <f>VALUE(LEFT(Table1[[#This Row],[Class]], FIND(".",Table1[[#This Row],[Class]])-1))</f>
        <v>11</v>
      </c>
      <c r="I296" s="93">
        <f>VALUE(RIGHT(Table1[[#This Row],[Class]],LEN(Table1[[#This Row],[Class]]) - FIND(".",Table1[[#This Row],[Class]])))</f>
        <v>1</v>
      </c>
    </row>
    <row r="297" spans="1:9" ht="21.6" x14ac:dyDescent="0.25">
      <c r="A297" s="10">
        <v>11122</v>
      </c>
      <c r="B297" s="91">
        <v>11.1</v>
      </c>
      <c r="C297" s="96">
        <v>0.73333333333333328</v>
      </c>
      <c r="D297" s="96">
        <v>0.4</v>
      </c>
      <c r="E297" s="96">
        <v>0.8666666666666667</v>
      </c>
      <c r="F297" s="96">
        <v>0.4</v>
      </c>
      <c r="G297" s="83" t="str">
        <f>IF(Table1[[#This Row],[I-E]]&gt;0.5,"I","E") &amp; IF(Table1[[#This Row],[S-N]]&gt;0.5,"S","N") &amp; IF(Table1[[#This Row],[T-F]]&gt;0.5,"T","F") &amp; IF(Table1[[#This Row],[J-P]]&gt;0.5,"J","P")</f>
        <v>INTP</v>
      </c>
      <c r="H297" s="93">
        <f>VALUE(LEFT(Table1[[#This Row],[Class]], FIND(".",Table1[[#This Row],[Class]])-1))</f>
        <v>11</v>
      </c>
      <c r="I297" s="93">
        <f>VALUE(RIGHT(Table1[[#This Row],[Class]],LEN(Table1[[#This Row],[Class]]) - FIND(".",Table1[[#This Row],[Class]])))</f>
        <v>1</v>
      </c>
    </row>
    <row r="298" spans="1:9" ht="21.6" x14ac:dyDescent="0.25">
      <c r="A298" s="10">
        <v>11123</v>
      </c>
      <c r="B298" s="91">
        <v>11.1</v>
      </c>
      <c r="C298" s="96">
        <v>0.6</v>
      </c>
      <c r="D298" s="96">
        <v>0.4</v>
      </c>
      <c r="E298" s="96">
        <v>0.73333333333333328</v>
      </c>
      <c r="F298" s="96">
        <v>0.66666666666666663</v>
      </c>
      <c r="G298" s="83" t="str">
        <f>IF(Table1[[#This Row],[I-E]]&gt;0.5,"I","E") &amp; IF(Table1[[#This Row],[S-N]]&gt;0.5,"S","N") &amp; IF(Table1[[#This Row],[T-F]]&gt;0.5,"T","F") &amp; IF(Table1[[#This Row],[J-P]]&gt;0.5,"J","P")</f>
        <v>INTJ</v>
      </c>
      <c r="H298" s="93">
        <f>VALUE(LEFT(Table1[[#This Row],[Class]], FIND(".",Table1[[#This Row],[Class]])-1))</f>
        <v>11</v>
      </c>
      <c r="I298" s="93">
        <f>VALUE(RIGHT(Table1[[#This Row],[Class]],LEN(Table1[[#This Row],[Class]]) - FIND(".",Table1[[#This Row],[Class]])))</f>
        <v>1</v>
      </c>
    </row>
    <row r="299" spans="1:9" ht="21.6" x14ac:dyDescent="0.25">
      <c r="A299" s="10">
        <v>11124</v>
      </c>
      <c r="B299" s="91">
        <v>11.1</v>
      </c>
      <c r="C299" s="96">
        <v>0.8666666666666667</v>
      </c>
      <c r="D299" s="96">
        <v>0.46666666666666667</v>
      </c>
      <c r="E299" s="96">
        <v>0.73333333333333328</v>
      </c>
      <c r="F299" s="96">
        <v>0.53333333333333333</v>
      </c>
      <c r="G299" s="83" t="str">
        <f>IF(Table1[[#This Row],[I-E]]&gt;0.5,"I","E") &amp; IF(Table1[[#This Row],[S-N]]&gt;0.5,"S","N") &amp; IF(Table1[[#This Row],[T-F]]&gt;0.5,"T","F") &amp; IF(Table1[[#This Row],[J-P]]&gt;0.5,"J","P")</f>
        <v>INTJ</v>
      </c>
      <c r="H299" s="93">
        <f>VALUE(LEFT(Table1[[#This Row],[Class]], FIND(".",Table1[[#This Row],[Class]])-1))</f>
        <v>11</v>
      </c>
      <c r="I299" s="93">
        <f>VALUE(RIGHT(Table1[[#This Row],[Class]],LEN(Table1[[#This Row],[Class]]) - FIND(".",Table1[[#This Row],[Class]])))</f>
        <v>1</v>
      </c>
    </row>
    <row r="300" spans="1:9" ht="21.6" x14ac:dyDescent="0.25">
      <c r="A300" s="10">
        <v>11125</v>
      </c>
      <c r="B300" s="91">
        <v>11.1</v>
      </c>
      <c r="C300" s="96">
        <v>0.8</v>
      </c>
      <c r="D300" s="96">
        <v>0.6</v>
      </c>
      <c r="E300" s="96">
        <v>0.73333333333333328</v>
      </c>
      <c r="F300" s="96">
        <v>0.4</v>
      </c>
      <c r="G300" s="83" t="str">
        <f>IF(Table1[[#This Row],[I-E]]&gt;0.5,"I","E") &amp; IF(Table1[[#This Row],[S-N]]&gt;0.5,"S","N") &amp; IF(Table1[[#This Row],[T-F]]&gt;0.5,"T","F") &amp; IF(Table1[[#This Row],[J-P]]&gt;0.5,"J","P")</f>
        <v>ISTP</v>
      </c>
      <c r="H300" s="93">
        <f>VALUE(LEFT(Table1[[#This Row],[Class]], FIND(".",Table1[[#This Row],[Class]])-1))</f>
        <v>11</v>
      </c>
      <c r="I300" s="93">
        <f>VALUE(RIGHT(Table1[[#This Row],[Class]],LEN(Table1[[#This Row],[Class]]) - FIND(".",Table1[[#This Row],[Class]])))</f>
        <v>1</v>
      </c>
    </row>
    <row r="301" spans="1:9" ht="21.6" x14ac:dyDescent="0.25">
      <c r="A301" s="10">
        <v>11126</v>
      </c>
      <c r="B301" s="91">
        <v>11.1</v>
      </c>
      <c r="C301" s="96">
        <v>0.66666666666666663</v>
      </c>
      <c r="D301" s="96">
        <v>0.53333333333333333</v>
      </c>
      <c r="E301" s="96">
        <v>0.93333333333333335</v>
      </c>
      <c r="F301" s="96">
        <v>0.46666666666666667</v>
      </c>
      <c r="G301" s="83" t="str">
        <f>IF(Table1[[#This Row],[I-E]]&gt;0.5,"I","E") &amp; IF(Table1[[#This Row],[S-N]]&gt;0.5,"S","N") &amp; IF(Table1[[#This Row],[T-F]]&gt;0.5,"T","F") &amp; IF(Table1[[#This Row],[J-P]]&gt;0.5,"J","P")</f>
        <v>ISTP</v>
      </c>
      <c r="H301" s="93">
        <f>VALUE(LEFT(Table1[[#This Row],[Class]], FIND(".",Table1[[#This Row],[Class]])-1))</f>
        <v>11</v>
      </c>
      <c r="I301" s="93">
        <f>VALUE(RIGHT(Table1[[#This Row],[Class]],LEN(Table1[[#This Row],[Class]]) - FIND(".",Table1[[#This Row],[Class]])))</f>
        <v>1</v>
      </c>
    </row>
    <row r="302" spans="1:9" ht="21.6" x14ac:dyDescent="0.25">
      <c r="A302" s="10">
        <v>11127</v>
      </c>
      <c r="B302" s="91">
        <v>11.1</v>
      </c>
      <c r="C302" s="96">
        <v>0.6</v>
      </c>
      <c r="D302" s="96">
        <v>0.4</v>
      </c>
      <c r="E302" s="96">
        <v>1</v>
      </c>
      <c r="F302" s="96">
        <v>0.26666666666666661</v>
      </c>
      <c r="G302" s="83" t="str">
        <f>IF(Table1[[#This Row],[I-E]]&gt;0.5,"I","E") &amp; IF(Table1[[#This Row],[S-N]]&gt;0.5,"S","N") &amp; IF(Table1[[#This Row],[T-F]]&gt;0.5,"T","F") &amp; IF(Table1[[#This Row],[J-P]]&gt;0.5,"J","P")</f>
        <v>INTP</v>
      </c>
      <c r="H302" s="93">
        <f>VALUE(LEFT(Table1[[#This Row],[Class]], FIND(".",Table1[[#This Row],[Class]])-1))</f>
        <v>11</v>
      </c>
      <c r="I302" s="93">
        <f>VALUE(RIGHT(Table1[[#This Row],[Class]],LEN(Table1[[#This Row],[Class]]) - FIND(".",Table1[[#This Row],[Class]])))</f>
        <v>1</v>
      </c>
    </row>
    <row r="303" spans="1:9" ht="21.6" x14ac:dyDescent="0.25">
      <c r="A303" s="10">
        <v>11128</v>
      </c>
      <c r="B303" s="91">
        <v>11.1</v>
      </c>
      <c r="C303" s="96">
        <v>0.4</v>
      </c>
      <c r="D303" s="96">
        <v>0.66666666666666663</v>
      </c>
      <c r="E303" s="96">
        <v>0.8666666666666667</v>
      </c>
      <c r="F303" s="96">
        <v>0.6</v>
      </c>
      <c r="G303" s="83" t="str">
        <f>IF(Table1[[#This Row],[I-E]]&gt;0.5,"I","E") &amp; IF(Table1[[#This Row],[S-N]]&gt;0.5,"S","N") &amp; IF(Table1[[#This Row],[T-F]]&gt;0.5,"T","F") &amp; IF(Table1[[#This Row],[J-P]]&gt;0.5,"J","P")</f>
        <v>ESTJ</v>
      </c>
      <c r="H303" s="93">
        <f>VALUE(LEFT(Table1[[#This Row],[Class]], FIND(".",Table1[[#This Row],[Class]])-1))</f>
        <v>11</v>
      </c>
      <c r="I303" s="93">
        <f>VALUE(RIGHT(Table1[[#This Row],[Class]],LEN(Table1[[#This Row],[Class]]) - FIND(".",Table1[[#This Row],[Class]])))</f>
        <v>1</v>
      </c>
    </row>
    <row r="304" spans="1:9" ht="21.6" x14ac:dyDescent="0.25">
      <c r="A304" s="10">
        <v>11129</v>
      </c>
      <c r="B304" s="91">
        <v>11.1</v>
      </c>
      <c r="C304" s="96">
        <v>0.6</v>
      </c>
      <c r="D304" s="96">
        <v>0.6</v>
      </c>
      <c r="E304" s="96">
        <v>0.66666666666666663</v>
      </c>
      <c r="F304" s="96">
        <v>0.53333333333333333</v>
      </c>
      <c r="G304" s="83" t="str">
        <f>IF(Table1[[#This Row],[I-E]]&gt;0.5,"I","E") &amp; IF(Table1[[#This Row],[S-N]]&gt;0.5,"S","N") &amp; IF(Table1[[#This Row],[T-F]]&gt;0.5,"T","F") &amp; IF(Table1[[#This Row],[J-P]]&gt;0.5,"J","P")</f>
        <v>ISTJ</v>
      </c>
      <c r="H304" s="93">
        <f>VALUE(LEFT(Table1[[#This Row],[Class]], FIND(".",Table1[[#This Row],[Class]])-1))</f>
        <v>11</v>
      </c>
      <c r="I304" s="93">
        <f>VALUE(RIGHT(Table1[[#This Row],[Class]],LEN(Table1[[#This Row],[Class]]) - FIND(".",Table1[[#This Row],[Class]])))</f>
        <v>1</v>
      </c>
    </row>
    <row r="305" spans="1:9" ht="21.6" x14ac:dyDescent="0.25">
      <c r="A305" s="10">
        <v>11130</v>
      </c>
      <c r="B305" s="91">
        <v>11.1</v>
      </c>
      <c r="C305" s="96">
        <v>0.4</v>
      </c>
      <c r="D305" s="96">
        <v>0.53333333333333333</v>
      </c>
      <c r="E305" s="96">
        <v>0.66666666666666663</v>
      </c>
      <c r="F305" s="96">
        <v>0.66666666666666663</v>
      </c>
      <c r="G305" s="83" t="str">
        <f>IF(Table1[[#This Row],[I-E]]&gt;0.5,"I","E") &amp; IF(Table1[[#This Row],[S-N]]&gt;0.5,"S","N") &amp; IF(Table1[[#This Row],[T-F]]&gt;0.5,"T","F") &amp; IF(Table1[[#This Row],[J-P]]&gt;0.5,"J","P")</f>
        <v>ESTJ</v>
      </c>
      <c r="H305" s="93">
        <f>VALUE(LEFT(Table1[[#This Row],[Class]], FIND(".",Table1[[#This Row],[Class]])-1))</f>
        <v>11</v>
      </c>
      <c r="I305" s="93">
        <f>VALUE(RIGHT(Table1[[#This Row],[Class]],LEN(Table1[[#This Row],[Class]]) - FIND(".",Table1[[#This Row],[Class]])))</f>
        <v>1</v>
      </c>
    </row>
    <row r="306" spans="1:9" ht="21.6" x14ac:dyDescent="0.25">
      <c r="A306" s="10">
        <v>11131</v>
      </c>
      <c r="B306" s="91">
        <v>11.1</v>
      </c>
      <c r="C306" s="96">
        <v>0.73333333333333328</v>
      </c>
      <c r="D306" s="96">
        <v>0.6</v>
      </c>
      <c r="E306" s="96">
        <v>0.8</v>
      </c>
      <c r="F306" s="96">
        <v>0.66666666666666663</v>
      </c>
      <c r="G306" s="83" t="str">
        <f>IF(Table1[[#This Row],[I-E]]&gt;0.5,"I","E") &amp; IF(Table1[[#This Row],[S-N]]&gt;0.5,"S","N") &amp; IF(Table1[[#This Row],[T-F]]&gt;0.5,"T","F") &amp; IF(Table1[[#This Row],[J-P]]&gt;0.5,"J","P")</f>
        <v>ISTJ</v>
      </c>
      <c r="H306" s="93">
        <f>VALUE(LEFT(Table1[[#This Row],[Class]], FIND(".",Table1[[#This Row],[Class]])-1))</f>
        <v>11</v>
      </c>
      <c r="I306" s="93">
        <f>VALUE(RIGHT(Table1[[#This Row],[Class]],LEN(Table1[[#This Row],[Class]]) - FIND(".",Table1[[#This Row],[Class]])))</f>
        <v>1</v>
      </c>
    </row>
    <row r="307" spans="1:9" ht="21.6" x14ac:dyDescent="0.25">
      <c r="A307" s="10">
        <v>11132</v>
      </c>
      <c r="B307" s="91">
        <v>11.1</v>
      </c>
      <c r="C307" s="96">
        <v>0.4</v>
      </c>
      <c r="D307" s="96">
        <v>0.4</v>
      </c>
      <c r="E307" s="96">
        <v>0.6</v>
      </c>
      <c r="F307" s="96">
        <v>0.4</v>
      </c>
      <c r="G307" s="83" t="str">
        <f>IF(Table1[[#This Row],[I-E]]&gt;0.5,"I","E") &amp; IF(Table1[[#This Row],[S-N]]&gt;0.5,"S","N") &amp; IF(Table1[[#This Row],[T-F]]&gt;0.5,"T","F") &amp; IF(Table1[[#This Row],[J-P]]&gt;0.5,"J","P")</f>
        <v>ENTP</v>
      </c>
      <c r="H307" s="93">
        <f>VALUE(LEFT(Table1[[#This Row],[Class]], FIND(".",Table1[[#This Row],[Class]])-1))</f>
        <v>11</v>
      </c>
      <c r="I307" s="93">
        <f>VALUE(RIGHT(Table1[[#This Row],[Class]],LEN(Table1[[#This Row],[Class]]) - FIND(".",Table1[[#This Row],[Class]])))</f>
        <v>1</v>
      </c>
    </row>
    <row r="308" spans="1:9" ht="21.6" x14ac:dyDescent="0.25">
      <c r="A308" s="10">
        <v>11133</v>
      </c>
      <c r="B308" s="91">
        <v>11.1</v>
      </c>
      <c r="C308" s="96">
        <v>0.46666666666666667</v>
      </c>
      <c r="D308" s="96">
        <v>0.46666666666666667</v>
      </c>
      <c r="E308" s="96">
        <v>0.66666666666666663</v>
      </c>
      <c r="F308" s="96">
        <v>0.33333333333333326</v>
      </c>
      <c r="G308" s="83" t="str">
        <f>IF(Table1[[#This Row],[I-E]]&gt;0.5,"I","E") &amp; IF(Table1[[#This Row],[S-N]]&gt;0.5,"S","N") &amp; IF(Table1[[#This Row],[T-F]]&gt;0.5,"T","F") &amp; IF(Table1[[#This Row],[J-P]]&gt;0.5,"J","P")</f>
        <v>ENTP</v>
      </c>
      <c r="H308" s="93">
        <f>VALUE(LEFT(Table1[[#This Row],[Class]], FIND(".",Table1[[#This Row],[Class]])-1))</f>
        <v>11</v>
      </c>
      <c r="I308" s="93">
        <f>VALUE(RIGHT(Table1[[#This Row],[Class]],LEN(Table1[[#This Row],[Class]]) - FIND(".",Table1[[#This Row],[Class]])))</f>
        <v>1</v>
      </c>
    </row>
    <row r="309" spans="1:9" ht="21.6" x14ac:dyDescent="0.25">
      <c r="A309" s="10">
        <v>11134</v>
      </c>
      <c r="B309" s="91">
        <v>11.1</v>
      </c>
      <c r="C309" s="96">
        <v>0.73333333333333328</v>
      </c>
      <c r="D309" s="96">
        <v>0.53333333333333333</v>
      </c>
      <c r="E309" s="96">
        <v>0.8</v>
      </c>
      <c r="F309" s="96">
        <v>0.19999999999999996</v>
      </c>
      <c r="G309" s="83" t="str">
        <f>IF(Table1[[#This Row],[I-E]]&gt;0.5,"I","E") &amp; IF(Table1[[#This Row],[S-N]]&gt;0.5,"S","N") &amp; IF(Table1[[#This Row],[T-F]]&gt;0.5,"T","F") &amp; IF(Table1[[#This Row],[J-P]]&gt;0.5,"J","P")</f>
        <v>ISTP</v>
      </c>
      <c r="H309" s="93">
        <f>VALUE(LEFT(Table1[[#This Row],[Class]], FIND(".",Table1[[#This Row],[Class]])-1))</f>
        <v>11</v>
      </c>
      <c r="I309" s="93">
        <f>VALUE(RIGHT(Table1[[#This Row],[Class]],LEN(Table1[[#This Row],[Class]]) - FIND(".",Table1[[#This Row],[Class]])))</f>
        <v>1</v>
      </c>
    </row>
    <row r="310" spans="1:9" ht="21.6" x14ac:dyDescent="0.25">
      <c r="A310" s="10">
        <v>11201</v>
      </c>
      <c r="B310" s="91">
        <v>11.2</v>
      </c>
      <c r="C310" s="96">
        <v>1</v>
      </c>
      <c r="D310" s="96">
        <v>0.53333333333333333</v>
      </c>
      <c r="E310" s="96">
        <v>0.53333333333333333</v>
      </c>
      <c r="F310" s="96">
        <v>0.4</v>
      </c>
      <c r="G310" s="83" t="str">
        <f>IF(Table1[[#This Row],[I-E]]&gt;0.5,"I","E") &amp; IF(Table1[[#This Row],[S-N]]&gt;0.5,"S","N") &amp; IF(Table1[[#This Row],[T-F]]&gt;0.5,"T","F") &amp; IF(Table1[[#This Row],[J-P]]&gt;0.5,"J","P")</f>
        <v>ISTP</v>
      </c>
      <c r="H310" s="93">
        <f>VALUE(LEFT(Table1[[#This Row],[Class]], FIND(".",Table1[[#This Row],[Class]])-1))</f>
        <v>11</v>
      </c>
      <c r="I310" s="93">
        <f>VALUE(RIGHT(Table1[[#This Row],[Class]],LEN(Table1[[#This Row],[Class]]) - FIND(".",Table1[[#This Row],[Class]])))</f>
        <v>2</v>
      </c>
    </row>
    <row r="311" spans="1:9" ht="21.6" x14ac:dyDescent="0.25">
      <c r="A311" s="10">
        <v>11202</v>
      </c>
      <c r="B311" s="91">
        <v>11.2</v>
      </c>
      <c r="C311" s="96">
        <v>0.8</v>
      </c>
      <c r="D311" s="96">
        <v>0.73333333333333328</v>
      </c>
      <c r="E311" s="96">
        <v>1</v>
      </c>
      <c r="F311" s="96">
        <v>0.6</v>
      </c>
      <c r="G311" s="83" t="str">
        <f>IF(Table1[[#This Row],[I-E]]&gt;0.5,"I","E") &amp; IF(Table1[[#This Row],[S-N]]&gt;0.5,"S","N") &amp; IF(Table1[[#This Row],[T-F]]&gt;0.5,"T","F") &amp; IF(Table1[[#This Row],[J-P]]&gt;0.5,"J","P")</f>
        <v>ISTJ</v>
      </c>
      <c r="H311" s="93">
        <f>VALUE(LEFT(Table1[[#This Row],[Class]], FIND(".",Table1[[#This Row],[Class]])-1))</f>
        <v>11</v>
      </c>
      <c r="I311" s="93">
        <f>VALUE(RIGHT(Table1[[#This Row],[Class]],LEN(Table1[[#This Row],[Class]]) - FIND(".",Table1[[#This Row],[Class]])))</f>
        <v>2</v>
      </c>
    </row>
    <row r="312" spans="1:9" ht="21.6" x14ac:dyDescent="0.25">
      <c r="A312" s="10">
        <v>11203</v>
      </c>
      <c r="B312" s="91">
        <v>11.2</v>
      </c>
      <c r="C312" s="96">
        <v>0.66666666666666663</v>
      </c>
      <c r="D312" s="96">
        <v>0.73333333333333328</v>
      </c>
      <c r="E312" s="96">
        <v>0.66666666666666663</v>
      </c>
      <c r="F312" s="96">
        <v>0.66666666666666663</v>
      </c>
      <c r="G312" s="83" t="str">
        <f>IF(Table1[[#This Row],[I-E]]&gt;0.5,"I","E") &amp; IF(Table1[[#This Row],[S-N]]&gt;0.5,"S","N") &amp; IF(Table1[[#This Row],[T-F]]&gt;0.5,"T","F") &amp; IF(Table1[[#This Row],[J-P]]&gt;0.5,"J","P")</f>
        <v>ISTJ</v>
      </c>
      <c r="H312" s="93">
        <f>VALUE(LEFT(Table1[[#This Row],[Class]], FIND(".",Table1[[#This Row],[Class]])-1))</f>
        <v>11</v>
      </c>
      <c r="I312" s="93">
        <f>VALUE(RIGHT(Table1[[#This Row],[Class]],LEN(Table1[[#This Row],[Class]]) - FIND(".",Table1[[#This Row],[Class]])))</f>
        <v>2</v>
      </c>
    </row>
    <row r="313" spans="1:9" ht="21.6" x14ac:dyDescent="0.25">
      <c r="A313" s="10">
        <v>11204</v>
      </c>
      <c r="B313" s="91">
        <v>11.2</v>
      </c>
      <c r="C313" s="96">
        <v>0.53333333333333333</v>
      </c>
      <c r="D313" s="96">
        <v>0.1333333333333333</v>
      </c>
      <c r="E313" s="96">
        <v>0.66666666666666663</v>
      </c>
      <c r="F313" s="96">
        <v>0.46666666666666667</v>
      </c>
      <c r="G313" s="83" t="str">
        <f>IF(Table1[[#This Row],[I-E]]&gt;0.5,"I","E") &amp; IF(Table1[[#This Row],[S-N]]&gt;0.5,"S","N") &amp; IF(Table1[[#This Row],[T-F]]&gt;0.5,"T","F") &amp; IF(Table1[[#This Row],[J-P]]&gt;0.5,"J","P")</f>
        <v>INTP</v>
      </c>
      <c r="H313" s="93">
        <f>VALUE(LEFT(Table1[[#This Row],[Class]], FIND(".",Table1[[#This Row],[Class]])-1))</f>
        <v>11</v>
      </c>
      <c r="I313" s="93">
        <f>VALUE(RIGHT(Table1[[#This Row],[Class]],LEN(Table1[[#This Row],[Class]]) - FIND(".",Table1[[#This Row],[Class]])))</f>
        <v>2</v>
      </c>
    </row>
    <row r="314" spans="1:9" ht="21.6" x14ac:dyDescent="0.25">
      <c r="A314" s="10">
        <v>11205</v>
      </c>
      <c r="B314" s="91">
        <v>11.2</v>
      </c>
      <c r="C314" s="96">
        <v>0.73333333333333328</v>
      </c>
      <c r="D314" s="96">
        <v>0.53333333333333333</v>
      </c>
      <c r="E314" s="96">
        <v>0.53333333333333333</v>
      </c>
      <c r="F314" s="96">
        <v>0.33333333333333326</v>
      </c>
      <c r="G314" s="83" t="str">
        <f>IF(Table1[[#This Row],[I-E]]&gt;0.5,"I","E") &amp; IF(Table1[[#This Row],[S-N]]&gt;0.5,"S","N") &amp; IF(Table1[[#This Row],[T-F]]&gt;0.5,"T","F") &amp; IF(Table1[[#This Row],[J-P]]&gt;0.5,"J","P")</f>
        <v>ISTP</v>
      </c>
      <c r="H314" s="93">
        <f>VALUE(LEFT(Table1[[#This Row],[Class]], FIND(".",Table1[[#This Row],[Class]])-1))</f>
        <v>11</v>
      </c>
      <c r="I314" s="93">
        <f>VALUE(RIGHT(Table1[[#This Row],[Class]],LEN(Table1[[#This Row],[Class]]) - FIND(".",Table1[[#This Row],[Class]])))</f>
        <v>2</v>
      </c>
    </row>
    <row r="315" spans="1:9" ht="21.6" x14ac:dyDescent="0.25">
      <c r="A315" s="10">
        <v>11206</v>
      </c>
      <c r="B315" s="91">
        <v>11.2</v>
      </c>
      <c r="C315" s="96">
        <v>0.6</v>
      </c>
      <c r="D315" s="96">
        <v>0.8</v>
      </c>
      <c r="E315" s="96">
        <v>0.53333333333333333</v>
      </c>
      <c r="F315" s="96">
        <v>0.53333333333333333</v>
      </c>
      <c r="G315" s="83" t="str">
        <f>IF(Table1[[#This Row],[I-E]]&gt;0.5,"I","E") &amp; IF(Table1[[#This Row],[S-N]]&gt;0.5,"S","N") &amp; IF(Table1[[#This Row],[T-F]]&gt;0.5,"T","F") &amp; IF(Table1[[#This Row],[J-P]]&gt;0.5,"J","P")</f>
        <v>ISTJ</v>
      </c>
      <c r="H315" s="93">
        <f>VALUE(LEFT(Table1[[#This Row],[Class]], FIND(".",Table1[[#This Row],[Class]])-1))</f>
        <v>11</v>
      </c>
      <c r="I315" s="93">
        <f>VALUE(RIGHT(Table1[[#This Row],[Class]],LEN(Table1[[#This Row],[Class]]) - FIND(".",Table1[[#This Row],[Class]])))</f>
        <v>2</v>
      </c>
    </row>
    <row r="316" spans="1:9" ht="21.6" x14ac:dyDescent="0.25">
      <c r="A316" s="10">
        <v>11207</v>
      </c>
      <c r="B316" s="91">
        <v>11.2</v>
      </c>
      <c r="C316" s="96">
        <v>0.6</v>
      </c>
      <c r="D316" s="96">
        <v>0.8666666666666667</v>
      </c>
      <c r="E316" s="96">
        <v>0.93333333333333335</v>
      </c>
      <c r="F316" s="96">
        <v>0.66666666666666663</v>
      </c>
      <c r="G316" s="83" t="str">
        <f>IF(Table1[[#This Row],[I-E]]&gt;0.5,"I","E") &amp; IF(Table1[[#This Row],[S-N]]&gt;0.5,"S","N") &amp; IF(Table1[[#This Row],[T-F]]&gt;0.5,"T","F") &amp; IF(Table1[[#This Row],[J-P]]&gt;0.5,"J","P")</f>
        <v>ISTJ</v>
      </c>
      <c r="H316" s="93">
        <f>VALUE(LEFT(Table1[[#This Row],[Class]], FIND(".",Table1[[#This Row],[Class]])-1))</f>
        <v>11</v>
      </c>
      <c r="I316" s="93">
        <f>VALUE(RIGHT(Table1[[#This Row],[Class]],LEN(Table1[[#This Row],[Class]]) - FIND(".",Table1[[#This Row],[Class]])))</f>
        <v>2</v>
      </c>
    </row>
    <row r="317" spans="1:9" ht="21.6" x14ac:dyDescent="0.25">
      <c r="A317" s="10">
        <v>11208</v>
      </c>
      <c r="B317" s="91">
        <v>11.2</v>
      </c>
      <c r="C317" s="96">
        <v>0.53333333333333333</v>
      </c>
      <c r="D317" s="96">
        <v>0.8</v>
      </c>
      <c r="E317" s="96">
        <v>0.4</v>
      </c>
      <c r="F317" s="96">
        <v>0.53333333333333333</v>
      </c>
      <c r="G317" s="83" t="str">
        <f>IF(Table1[[#This Row],[I-E]]&gt;0.5,"I","E") &amp; IF(Table1[[#This Row],[S-N]]&gt;0.5,"S","N") &amp; IF(Table1[[#This Row],[T-F]]&gt;0.5,"T","F") &amp; IF(Table1[[#This Row],[J-P]]&gt;0.5,"J","P")</f>
        <v>ISFJ</v>
      </c>
      <c r="H317" s="93">
        <f>VALUE(LEFT(Table1[[#This Row],[Class]], FIND(".",Table1[[#This Row],[Class]])-1))</f>
        <v>11</v>
      </c>
      <c r="I317" s="93">
        <f>VALUE(RIGHT(Table1[[#This Row],[Class]],LEN(Table1[[#This Row],[Class]]) - FIND(".",Table1[[#This Row],[Class]])))</f>
        <v>2</v>
      </c>
    </row>
    <row r="318" spans="1:9" ht="21.6" x14ac:dyDescent="0.25">
      <c r="A318" s="10">
        <v>11209</v>
      </c>
      <c r="B318" s="91">
        <v>11.2</v>
      </c>
      <c r="C318" s="96">
        <v>0.8</v>
      </c>
      <c r="D318" s="96">
        <v>0.53333333333333333</v>
      </c>
      <c r="E318" s="96">
        <v>0.73333333333333328</v>
      </c>
      <c r="F318" s="96">
        <v>0.53333333333333333</v>
      </c>
      <c r="G318" s="83" t="str">
        <f>IF(Table1[[#This Row],[I-E]]&gt;0.5,"I","E") &amp; IF(Table1[[#This Row],[S-N]]&gt;0.5,"S","N") &amp; IF(Table1[[#This Row],[T-F]]&gt;0.5,"T","F") &amp; IF(Table1[[#This Row],[J-P]]&gt;0.5,"J","P")</f>
        <v>ISTJ</v>
      </c>
      <c r="H318" s="93">
        <f>VALUE(LEFT(Table1[[#This Row],[Class]], FIND(".",Table1[[#This Row],[Class]])-1))</f>
        <v>11</v>
      </c>
      <c r="I318" s="93">
        <f>VALUE(RIGHT(Table1[[#This Row],[Class]],LEN(Table1[[#This Row],[Class]]) - FIND(".",Table1[[#This Row],[Class]])))</f>
        <v>2</v>
      </c>
    </row>
    <row r="319" spans="1:9" ht="21.6" x14ac:dyDescent="0.25">
      <c r="A319" s="10">
        <v>11210</v>
      </c>
      <c r="B319" s="91">
        <v>11.2</v>
      </c>
      <c r="C319" s="96">
        <v>0.6</v>
      </c>
      <c r="D319" s="96">
        <v>0.6</v>
      </c>
      <c r="E319" s="96">
        <v>0.8666666666666667</v>
      </c>
      <c r="F319" s="96">
        <v>0.66666666666666663</v>
      </c>
      <c r="G319" s="83" t="str">
        <f>IF(Table1[[#This Row],[I-E]]&gt;0.5,"I","E") &amp; IF(Table1[[#This Row],[S-N]]&gt;0.5,"S","N") &amp; IF(Table1[[#This Row],[T-F]]&gt;0.5,"T","F") &amp; IF(Table1[[#This Row],[J-P]]&gt;0.5,"J","P")</f>
        <v>ISTJ</v>
      </c>
      <c r="H319" s="93">
        <f>VALUE(LEFT(Table1[[#This Row],[Class]], FIND(".",Table1[[#This Row],[Class]])-1))</f>
        <v>11</v>
      </c>
      <c r="I319" s="93">
        <f>VALUE(RIGHT(Table1[[#This Row],[Class]],LEN(Table1[[#This Row],[Class]]) - FIND(".",Table1[[#This Row],[Class]])))</f>
        <v>2</v>
      </c>
    </row>
    <row r="320" spans="1:9" ht="21.6" x14ac:dyDescent="0.25">
      <c r="A320" s="10">
        <v>11211</v>
      </c>
      <c r="B320" s="91">
        <v>11.2</v>
      </c>
      <c r="C320" s="96">
        <v>0.6</v>
      </c>
      <c r="D320" s="96">
        <v>0.53333333333333333</v>
      </c>
      <c r="E320" s="96">
        <v>0.73333333333333328</v>
      </c>
      <c r="F320" s="96">
        <v>0.4</v>
      </c>
      <c r="G320" s="83" t="str">
        <f>IF(Table1[[#This Row],[I-E]]&gt;0.5,"I","E") &amp; IF(Table1[[#This Row],[S-N]]&gt;0.5,"S","N") &amp; IF(Table1[[#This Row],[T-F]]&gt;0.5,"T","F") &amp; IF(Table1[[#This Row],[J-P]]&gt;0.5,"J","P")</f>
        <v>ISTP</v>
      </c>
      <c r="H320" s="93">
        <f>VALUE(LEFT(Table1[[#This Row],[Class]], FIND(".",Table1[[#This Row],[Class]])-1))</f>
        <v>11</v>
      </c>
      <c r="I320" s="93">
        <f>VALUE(RIGHT(Table1[[#This Row],[Class]],LEN(Table1[[#This Row],[Class]]) - FIND(".",Table1[[#This Row],[Class]])))</f>
        <v>2</v>
      </c>
    </row>
    <row r="321" spans="1:9" ht="21.6" x14ac:dyDescent="0.25">
      <c r="A321" s="10">
        <v>11212</v>
      </c>
      <c r="B321" s="91">
        <v>11.2</v>
      </c>
      <c r="C321" s="96">
        <v>0.4</v>
      </c>
      <c r="D321" s="96">
        <v>0.73333333333333328</v>
      </c>
      <c r="E321" s="96">
        <v>0.33333333333333326</v>
      </c>
      <c r="F321" s="96">
        <v>0.53333333333333333</v>
      </c>
      <c r="G321" s="83" t="str">
        <f>IF(Table1[[#This Row],[I-E]]&gt;0.5,"I","E") &amp; IF(Table1[[#This Row],[S-N]]&gt;0.5,"S","N") &amp; IF(Table1[[#This Row],[T-F]]&gt;0.5,"T","F") &amp; IF(Table1[[#This Row],[J-P]]&gt;0.5,"J","P")</f>
        <v>ESFJ</v>
      </c>
      <c r="H321" s="93">
        <f>VALUE(LEFT(Table1[[#This Row],[Class]], FIND(".",Table1[[#This Row],[Class]])-1))</f>
        <v>11</v>
      </c>
      <c r="I321" s="93">
        <f>VALUE(RIGHT(Table1[[#This Row],[Class]],LEN(Table1[[#This Row],[Class]]) - FIND(".",Table1[[#This Row],[Class]])))</f>
        <v>2</v>
      </c>
    </row>
    <row r="322" spans="1:9" ht="21.6" x14ac:dyDescent="0.25">
      <c r="A322" s="10">
        <v>11213</v>
      </c>
      <c r="B322" s="91">
        <v>11.2</v>
      </c>
      <c r="C322" s="96">
        <v>0.66666666666666663</v>
      </c>
      <c r="D322" s="96">
        <v>0.4</v>
      </c>
      <c r="E322" s="96">
        <v>0.8</v>
      </c>
      <c r="F322" s="96">
        <v>0.46666666666666667</v>
      </c>
      <c r="G322" s="83" t="str">
        <f>IF(Table1[[#This Row],[I-E]]&gt;0.5,"I","E") &amp; IF(Table1[[#This Row],[S-N]]&gt;0.5,"S","N") &amp; IF(Table1[[#This Row],[T-F]]&gt;0.5,"T","F") &amp; IF(Table1[[#This Row],[J-P]]&gt;0.5,"J","P")</f>
        <v>INTP</v>
      </c>
      <c r="H322" s="93">
        <f>VALUE(LEFT(Table1[[#This Row],[Class]], FIND(".",Table1[[#This Row],[Class]])-1))</f>
        <v>11</v>
      </c>
      <c r="I322" s="93">
        <f>VALUE(RIGHT(Table1[[#This Row],[Class]],LEN(Table1[[#This Row],[Class]]) - FIND(".",Table1[[#This Row],[Class]])))</f>
        <v>2</v>
      </c>
    </row>
    <row r="323" spans="1:9" ht="21.6" x14ac:dyDescent="0.25">
      <c r="A323" s="10">
        <v>11214</v>
      </c>
      <c r="B323" s="91">
        <v>11.2</v>
      </c>
      <c r="C323" s="96">
        <v>1</v>
      </c>
      <c r="D323" s="96">
        <v>0.53333333333333333</v>
      </c>
      <c r="E323" s="96">
        <v>0.93333333333333335</v>
      </c>
      <c r="F323" s="96">
        <v>0.33333333333333326</v>
      </c>
      <c r="G323" s="83" t="str">
        <f>IF(Table1[[#This Row],[I-E]]&gt;0.5,"I","E") &amp; IF(Table1[[#This Row],[S-N]]&gt;0.5,"S","N") &amp; IF(Table1[[#This Row],[T-F]]&gt;0.5,"T","F") &amp; IF(Table1[[#This Row],[J-P]]&gt;0.5,"J","P")</f>
        <v>ISTP</v>
      </c>
      <c r="H323" s="93">
        <f>VALUE(LEFT(Table1[[#This Row],[Class]], FIND(".",Table1[[#This Row],[Class]])-1))</f>
        <v>11</v>
      </c>
      <c r="I323" s="93">
        <f>VALUE(RIGHT(Table1[[#This Row],[Class]],LEN(Table1[[#This Row],[Class]]) - FIND(".",Table1[[#This Row],[Class]])))</f>
        <v>2</v>
      </c>
    </row>
    <row r="324" spans="1:9" ht="21.6" x14ac:dyDescent="0.25">
      <c r="A324" s="10">
        <v>11215</v>
      </c>
      <c r="B324" s="91">
        <v>11.2</v>
      </c>
      <c r="C324" s="96">
        <v>0.33333333333333326</v>
      </c>
      <c r="D324" s="96">
        <v>0.33333333333333326</v>
      </c>
      <c r="E324" s="96">
        <v>0.66666666666666663</v>
      </c>
      <c r="F324" s="96">
        <v>0.6</v>
      </c>
      <c r="G324" s="83" t="str">
        <f>IF(Table1[[#This Row],[I-E]]&gt;0.5,"I","E") &amp; IF(Table1[[#This Row],[S-N]]&gt;0.5,"S","N") &amp; IF(Table1[[#This Row],[T-F]]&gt;0.5,"T","F") &amp; IF(Table1[[#This Row],[J-P]]&gt;0.5,"J","P")</f>
        <v>ENTJ</v>
      </c>
      <c r="H324" s="93">
        <f>VALUE(LEFT(Table1[[#This Row],[Class]], FIND(".",Table1[[#This Row],[Class]])-1))</f>
        <v>11</v>
      </c>
      <c r="I324" s="93">
        <f>VALUE(RIGHT(Table1[[#This Row],[Class]],LEN(Table1[[#This Row],[Class]]) - FIND(".",Table1[[#This Row],[Class]])))</f>
        <v>2</v>
      </c>
    </row>
    <row r="325" spans="1:9" ht="21.6" x14ac:dyDescent="0.25">
      <c r="A325" s="10">
        <v>11216</v>
      </c>
      <c r="B325" s="91">
        <v>11.2</v>
      </c>
      <c r="C325" s="96">
        <v>0.8</v>
      </c>
      <c r="D325" s="96">
        <v>0.53333333333333333</v>
      </c>
      <c r="E325" s="96">
        <v>0.8666666666666667</v>
      </c>
      <c r="F325" s="96">
        <v>0.26666666666666661</v>
      </c>
      <c r="G325" s="83" t="str">
        <f>IF(Table1[[#This Row],[I-E]]&gt;0.5,"I","E") &amp; IF(Table1[[#This Row],[S-N]]&gt;0.5,"S","N") &amp; IF(Table1[[#This Row],[T-F]]&gt;0.5,"T","F") &amp; IF(Table1[[#This Row],[J-P]]&gt;0.5,"J","P")</f>
        <v>ISTP</v>
      </c>
      <c r="H325" s="93">
        <f>VALUE(LEFT(Table1[[#This Row],[Class]], FIND(".",Table1[[#This Row],[Class]])-1))</f>
        <v>11</v>
      </c>
      <c r="I325" s="93">
        <f>VALUE(RIGHT(Table1[[#This Row],[Class]],LEN(Table1[[#This Row],[Class]]) - FIND(".",Table1[[#This Row],[Class]])))</f>
        <v>2</v>
      </c>
    </row>
    <row r="326" spans="1:9" ht="21.6" x14ac:dyDescent="0.25">
      <c r="A326" s="10">
        <v>11217</v>
      </c>
      <c r="B326" s="91">
        <v>11.2</v>
      </c>
      <c r="C326" s="96">
        <v>0.8666666666666667</v>
      </c>
      <c r="D326" s="96">
        <v>6.6666666666666652E-2</v>
      </c>
      <c r="E326" s="96">
        <v>1</v>
      </c>
      <c r="F326" s="96">
        <v>0.73333333333333328</v>
      </c>
      <c r="G326" s="83" t="str">
        <f>IF(Table1[[#This Row],[I-E]]&gt;0.5,"I","E") &amp; IF(Table1[[#This Row],[S-N]]&gt;0.5,"S","N") &amp; IF(Table1[[#This Row],[T-F]]&gt;0.5,"T","F") &amp; IF(Table1[[#This Row],[J-P]]&gt;0.5,"J","P")</f>
        <v>INTJ</v>
      </c>
      <c r="H326" s="93">
        <f>VALUE(LEFT(Table1[[#This Row],[Class]], FIND(".",Table1[[#This Row],[Class]])-1))</f>
        <v>11</v>
      </c>
      <c r="I326" s="93">
        <f>VALUE(RIGHT(Table1[[#This Row],[Class]],LEN(Table1[[#This Row],[Class]]) - FIND(".",Table1[[#This Row],[Class]])))</f>
        <v>2</v>
      </c>
    </row>
    <row r="327" spans="1:9" ht="21.6" x14ac:dyDescent="0.25">
      <c r="A327" s="10">
        <v>11218</v>
      </c>
      <c r="B327" s="91">
        <v>11.2</v>
      </c>
      <c r="C327" s="96">
        <v>0.66666666666666663</v>
      </c>
      <c r="D327" s="96">
        <v>0.8</v>
      </c>
      <c r="E327" s="96">
        <v>0.53333333333333333</v>
      </c>
      <c r="F327" s="96">
        <v>0.46666666666666667</v>
      </c>
      <c r="G327" s="83" t="str">
        <f>IF(Table1[[#This Row],[I-E]]&gt;0.5,"I","E") &amp; IF(Table1[[#This Row],[S-N]]&gt;0.5,"S","N") &amp; IF(Table1[[#This Row],[T-F]]&gt;0.5,"T","F") &amp; IF(Table1[[#This Row],[J-P]]&gt;0.5,"J","P")</f>
        <v>ISTP</v>
      </c>
      <c r="H327" s="93">
        <f>VALUE(LEFT(Table1[[#This Row],[Class]], FIND(".",Table1[[#This Row],[Class]])-1))</f>
        <v>11</v>
      </c>
      <c r="I327" s="93">
        <f>VALUE(RIGHT(Table1[[#This Row],[Class]],LEN(Table1[[#This Row],[Class]]) - FIND(".",Table1[[#This Row],[Class]])))</f>
        <v>2</v>
      </c>
    </row>
    <row r="328" spans="1:9" ht="21.6" x14ac:dyDescent="0.25">
      <c r="A328" s="10">
        <v>11219</v>
      </c>
      <c r="B328" s="91">
        <v>11.2</v>
      </c>
      <c r="C328" s="96">
        <v>0.53333333333333333</v>
      </c>
      <c r="D328" s="96">
        <v>0.66666666666666663</v>
      </c>
      <c r="E328" s="96">
        <v>0.66666666666666663</v>
      </c>
      <c r="F328" s="96">
        <v>0.6</v>
      </c>
      <c r="G328" s="83" t="str">
        <f>IF(Table1[[#This Row],[I-E]]&gt;0.5,"I","E") &amp; IF(Table1[[#This Row],[S-N]]&gt;0.5,"S","N") &amp; IF(Table1[[#This Row],[T-F]]&gt;0.5,"T","F") &amp; IF(Table1[[#This Row],[J-P]]&gt;0.5,"J","P")</f>
        <v>ISTJ</v>
      </c>
      <c r="H328" s="93">
        <f>VALUE(LEFT(Table1[[#This Row],[Class]], FIND(".",Table1[[#This Row],[Class]])-1))</f>
        <v>11</v>
      </c>
      <c r="I328" s="93">
        <f>VALUE(RIGHT(Table1[[#This Row],[Class]],LEN(Table1[[#This Row],[Class]]) - FIND(".",Table1[[#This Row],[Class]])))</f>
        <v>2</v>
      </c>
    </row>
    <row r="329" spans="1:9" ht="21.6" x14ac:dyDescent="0.25">
      <c r="A329" s="10">
        <v>11220</v>
      </c>
      <c r="B329" s="91">
        <v>11.2</v>
      </c>
      <c r="C329" s="96">
        <v>0.53333333333333333</v>
      </c>
      <c r="D329" s="96">
        <v>0.46666666666666667</v>
      </c>
      <c r="E329" s="96">
        <v>0.26666666666666661</v>
      </c>
      <c r="F329" s="96">
        <v>0.46666666666666667</v>
      </c>
      <c r="G329" s="83" t="str">
        <f>IF(Table1[[#This Row],[I-E]]&gt;0.5,"I","E") &amp; IF(Table1[[#This Row],[S-N]]&gt;0.5,"S","N") &amp; IF(Table1[[#This Row],[T-F]]&gt;0.5,"T","F") &amp; IF(Table1[[#This Row],[J-P]]&gt;0.5,"J","P")</f>
        <v>INFP</v>
      </c>
      <c r="H329" s="93">
        <f>VALUE(LEFT(Table1[[#This Row],[Class]], FIND(".",Table1[[#This Row],[Class]])-1))</f>
        <v>11</v>
      </c>
      <c r="I329" s="93">
        <f>VALUE(RIGHT(Table1[[#This Row],[Class]],LEN(Table1[[#This Row],[Class]]) - FIND(".",Table1[[#This Row],[Class]])))</f>
        <v>2</v>
      </c>
    </row>
    <row r="330" spans="1:9" ht="21.6" x14ac:dyDescent="0.25">
      <c r="A330" s="10">
        <v>11221</v>
      </c>
      <c r="B330" s="91">
        <v>11.2</v>
      </c>
      <c r="C330" s="96">
        <v>0.4</v>
      </c>
      <c r="D330" s="96">
        <v>0.73333333333333328</v>
      </c>
      <c r="E330" s="96">
        <v>0.93333333333333335</v>
      </c>
      <c r="F330" s="96">
        <v>0.1333333333333333</v>
      </c>
      <c r="G330" s="83" t="str">
        <f>IF(Table1[[#This Row],[I-E]]&gt;0.5,"I","E") &amp; IF(Table1[[#This Row],[S-N]]&gt;0.5,"S","N") &amp; IF(Table1[[#This Row],[T-F]]&gt;0.5,"T","F") &amp; IF(Table1[[#This Row],[J-P]]&gt;0.5,"J","P")</f>
        <v>ESTP</v>
      </c>
      <c r="H330" s="93">
        <f>VALUE(LEFT(Table1[[#This Row],[Class]], FIND(".",Table1[[#This Row],[Class]])-1))</f>
        <v>11</v>
      </c>
      <c r="I330" s="93">
        <f>VALUE(RIGHT(Table1[[#This Row],[Class]],LEN(Table1[[#This Row],[Class]]) - FIND(".",Table1[[#This Row],[Class]])))</f>
        <v>2</v>
      </c>
    </row>
    <row r="331" spans="1:9" ht="21.6" x14ac:dyDescent="0.25">
      <c r="A331" s="10">
        <v>11222</v>
      </c>
      <c r="B331" s="91">
        <v>11.2</v>
      </c>
      <c r="C331" s="96">
        <v>0.66666666666666663</v>
      </c>
      <c r="D331" s="96">
        <v>0.6</v>
      </c>
      <c r="E331" s="96">
        <v>0.8666666666666667</v>
      </c>
      <c r="F331" s="96">
        <v>0.8</v>
      </c>
      <c r="G331" s="83" t="str">
        <f>IF(Table1[[#This Row],[I-E]]&gt;0.5,"I","E") &amp; IF(Table1[[#This Row],[S-N]]&gt;0.5,"S","N") &amp; IF(Table1[[#This Row],[T-F]]&gt;0.5,"T","F") &amp; IF(Table1[[#This Row],[J-P]]&gt;0.5,"J","P")</f>
        <v>ISTJ</v>
      </c>
      <c r="H331" s="93">
        <f>VALUE(LEFT(Table1[[#This Row],[Class]], FIND(".",Table1[[#This Row],[Class]])-1))</f>
        <v>11</v>
      </c>
      <c r="I331" s="93">
        <f>VALUE(RIGHT(Table1[[#This Row],[Class]],LEN(Table1[[#This Row],[Class]]) - FIND(".",Table1[[#This Row],[Class]])))</f>
        <v>2</v>
      </c>
    </row>
    <row r="332" spans="1:9" ht="21.6" x14ac:dyDescent="0.25">
      <c r="A332" s="10">
        <v>11223</v>
      </c>
      <c r="B332" s="91">
        <v>11.2</v>
      </c>
      <c r="C332" s="96">
        <v>0.66666666666666663</v>
      </c>
      <c r="D332" s="96">
        <v>0.19999999999999996</v>
      </c>
      <c r="E332" s="96">
        <v>0.93333333333333335</v>
      </c>
      <c r="F332" s="96">
        <v>0.19999999999999996</v>
      </c>
      <c r="G332" s="83" t="str">
        <f>IF(Table1[[#This Row],[I-E]]&gt;0.5,"I","E") &amp; IF(Table1[[#This Row],[S-N]]&gt;0.5,"S","N") &amp; IF(Table1[[#This Row],[T-F]]&gt;0.5,"T","F") &amp; IF(Table1[[#This Row],[J-P]]&gt;0.5,"J","P")</f>
        <v>INTP</v>
      </c>
      <c r="H332" s="93">
        <f>VALUE(LEFT(Table1[[#This Row],[Class]], FIND(".",Table1[[#This Row],[Class]])-1))</f>
        <v>11</v>
      </c>
      <c r="I332" s="93">
        <f>VALUE(RIGHT(Table1[[#This Row],[Class]],LEN(Table1[[#This Row],[Class]]) - FIND(".",Table1[[#This Row],[Class]])))</f>
        <v>2</v>
      </c>
    </row>
    <row r="333" spans="1:9" ht="21.6" x14ac:dyDescent="0.25">
      <c r="A333" s="10">
        <v>11224</v>
      </c>
      <c r="B333" s="91">
        <v>11.2</v>
      </c>
      <c r="C333" s="96">
        <v>0.26666666666666661</v>
      </c>
      <c r="D333" s="96">
        <v>0.53333333333333333</v>
      </c>
      <c r="E333" s="96">
        <v>0.73333333333333328</v>
      </c>
      <c r="F333" s="96">
        <v>0.26666666666666661</v>
      </c>
      <c r="G333" s="83" t="str">
        <f>IF(Table1[[#This Row],[I-E]]&gt;0.5,"I","E") &amp; IF(Table1[[#This Row],[S-N]]&gt;0.5,"S","N") &amp; IF(Table1[[#This Row],[T-F]]&gt;0.5,"T","F") &amp; IF(Table1[[#This Row],[J-P]]&gt;0.5,"J","P")</f>
        <v>ESTP</v>
      </c>
      <c r="H333" s="93">
        <f>VALUE(LEFT(Table1[[#This Row],[Class]], FIND(".",Table1[[#This Row],[Class]])-1))</f>
        <v>11</v>
      </c>
      <c r="I333" s="93">
        <f>VALUE(RIGHT(Table1[[#This Row],[Class]],LEN(Table1[[#This Row],[Class]]) - FIND(".",Table1[[#This Row],[Class]])))</f>
        <v>2</v>
      </c>
    </row>
    <row r="334" spans="1:9" ht="21.6" x14ac:dyDescent="0.25">
      <c r="A334" s="10">
        <v>11225</v>
      </c>
      <c r="B334" s="91">
        <v>11.2</v>
      </c>
      <c r="C334" s="96">
        <v>0.8666666666666667</v>
      </c>
      <c r="D334" s="96">
        <v>0.33333333333333326</v>
      </c>
      <c r="E334" s="96">
        <v>0.53333333333333333</v>
      </c>
      <c r="F334" s="96">
        <v>0.26666666666666661</v>
      </c>
      <c r="G334" s="83" t="str">
        <f>IF(Table1[[#This Row],[I-E]]&gt;0.5,"I","E") &amp; IF(Table1[[#This Row],[S-N]]&gt;0.5,"S","N") &amp; IF(Table1[[#This Row],[T-F]]&gt;0.5,"T","F") &amp; IF(Table1[[#This Row],[J-P]]&gt;0.5,"J","P")</f>
        <v>INTP</v>
      </c>
      <c r="H334" s="93">
        <f>VALUE(LEFT(Table1[[#This Row],[Class]], FIND(".",Table1[[#This Row],[Class]])-1))</f>
        <v>11</v>
      </c>
      <c r="I334" s="93">
        <f>VALUE(RIGHT(Table1[[#This Row],[Class]],LEN(Table1[[#This Row],[Class]]) - FIND(".",Table1[[#This Row],[Class]])))</f>
        <v>2</v>
      </c>
    </row>
    <row r="335" spans="1:9" ht="21.6" x14ac:dyDescent="0.25">
      <c r="A335" s="10">
        <v>11226</v>
      </c>
      <c r="B335" s="91">
        <v>11.2</v>
      </c>
      <c r="C335" s="96">
        <v>0.8</v>
      </c>
      <c r="D335" s="96">
        <v>0.26666666666666661</v>
      </c>
      <c r="E335" s="96">
        <v>0.8</v>
      </c>
      <c r="F335" s="96">
        <v>0.6</v>
      </c>
      <c r="G335" s="83" t="str">
        <f>IF(Table1[[#This Row],[I-E]]&gt;0.5,"I","E") &amp; IF(Table1[[#This Row],[S-N]]&gt;0.5,"S","N") &amp; IF(Table1[[#This Row],[T-F]]&gt;0.5,"T","F") &amp; IF(Table1[[#This Row],[J-P]]&gt;0.5,"J","P")</f>
        <v>INTJ</v>
      </c>
      <c r="H335" s="93">
        <f>VALUE(LEFT(Table1[[#This Row],[Class]], FIND(".",Table1[[#This Row],[Class]])-1))</f>
        <v>11</v>
      </c>
      <c r="I335" s="93">
        <f>VALUE(RIGHT(Table1[[#This Row],[Class]],LEN(Table1[[#This Row],[Class]]) - FIND(".",Table1[[#This Row],[Class]])))</f>
        <v>2</v>
      </c>
    </row>
    <row r="336" spans="1:9" ht="21.6" x14ac:dyDescent="0.25">
      <c r="A336" s="10">
        <v>11227</v>
      </c>
      <c r="B336" s="91">
        <v>11.2</v>
      </c>
      <c r="C336" s="96">
        <v>0.46666666666666667</v>
      </c>
      <c r="D336" s="96">
        <v>0.53333333333333333</v>
      </c>
      <c r="E336" s="96">
        <v>0.73333333333333328</v>
      </c>
      <c r="F336" s="96">
        <v>0.6</v>
      </c>
      <c r="G336" s="83" t="str">
        <f>IF(Table1[[#This Row],[I-E]]&gt;0.5,"I","E") &amp; IF(Table1[[#This Row],[S-N]]&gt;0.5,"S","N") &amp; IF(Table1[[#This Row],[T-F]]&gt;0.5,"T","F") &amp; IF(Table1[[#This Row],[J-P]]&gt;0.5,"J","P")</f>
        <v>ESTJ</v>
      </c>
      <c r="H336" s="93">
        <f>VALUE(LEFT(Table1[[#This Row],[Class]], FIND(".",Table1[[#This Row],[Class]])-1))</f>
        <v>11</v>
      </c>
      <c r="I336" s="93">
        <f>VALUE(RIGHT(Table1[[#This Row],[Class]],LEN(Table1[[#This Row],[Class]]) - FIND(".",Table1[[#This Row],[Class]])))</f>
        <v>2</v>
      </c>
    </row>
    <row r="337" spans="1:9" ht="21.6" x14ac:dyDescent="0.25">
      <c r="A337" s="10">
        <v>11228</v>
      </c>
      <c r="B337" s="91">
        <v>11.2</v>
      </c>
      <c r="C337" s="96">
        <v>0.46666666666666667</v>
      </c>
      <c r="D337" s="96">
        <v>0.46666666666666667</v>
      </c>
      <c r="E337" s="96">
        <v>0.66666666666666663</v>
      </c>
      <c r="F337" s="96">
        <v>0.53333333333333333</v>
      </c>
      <c r="G337" s="83" t="str">
        <f>IF(Table1[[#This Row],[I-E]]&gt;0.5,"I","E") &amp; IF(Table1[[#This Row],[S-N]]&gt;0.5,"S","N") &amp; IF(Table1[[#This Row],[T-F]]&gt;0.5,"T","F") &amp; IF(Table1[[#This Row],[J-P]]&gt;0.5,"J","P")</f>
        <v>ENTJ</v>
      </c>
      <c r="H337" s="93">
        <f>VALUE(LEFT(Table1[[#This Row],[Class]], FIND(".",Table1[[#This Row],[Class]])-1))</f>
        <v>11</v>
      </c>
      <c r="I337" s="93">
        <f>VALUE(RIGHT(Table1[[#This Row],[Class]],LEN(Table1[[#This Row],[Class]]) - FIND(".",Table1[[#This Row],[Class]])))</f>
        <v>2</v>
      </c>
    </row>
    <row r="338" spans="1:9" ht="21.6" x14ac:dyDescent="0.25">
      <c r="A338" s="10">
        <v>11229</v>
      </c>
      <c r="B338" s="91">
        <v>11.2</v>
      </c>
      <c r="C338" s="96">
        <v>0.66666666666666663</v>
      </c>
      <c r="D338" s="96">
        <v>0.4</v>
      </c>
      <c r="E338" s="96">
        <v>1</v>
      </c>
      <c r="F338" s="96">
        <v>0.19999999999999996</v>
      </c>
      <c r="G338" s="83" t="str">
        <f>IF(Table1[[#This Row],[I-E]]&gt;0.5,"I","E") &amp; IF(Table1[[#This Row],[S-N]]&gt;0.5,"S","N") &amp; IF(Table1[[#This Row],[T-F]]&gt;0.5,"T","F") &amp; IF(Table1[[#This Row],[J-P]]&gt;0.5,"J","P")</f>
        <v>INTP</v>
      </c>
      <c r="H338" s="93">
        <f>VALUE(LEFT(Table1[[#This Row],[Class]], FIND(".",Table1[[#This Row],[Class]])-1))</f>
        <v>11</v>
      </c>
      <c r="I338" s="93">
        <f>VALUE(RIGHT(Table1[[#This Row],[Class]],LEN(Table1[[#This Row],[Class]]) - FIND(".",Table1[[#This Row],[Class]])))</f>
        <v>2</v>
      </c>
    </row>
    <row r="339" spans="1:9" ht="21.6" x14ac:dyDescent="0.25">
      <c r="A339" s="10">
        <v>11230</v>
      </c>
      <c r="B339" s="91">
        <v>11.2</v>
      </c>
      <c r="C339" s="96">
        <v>0.46666666666666667</v>
      </c>
      <c r="D339" s="96">
        <v>0.33333333333333326</v>
      </c>
      <c r="E339" s="96">
        <v>0.46666666666666667</v>
      </c>
      <c r="F339" s="96">
        <v>0.6</v>
      </c>
      <c r="G339" s="83" t="str">
        <f>IF(Table1[[#This Row],[I-E]]&gt;0.5,"I","E") &amp; IF(Table1[[#This Row],[S-N]]&gt;0.5,"S","N") &amp; IF(Table1[[#This Row],[T-F]]&gt;0.5,"T","F") &amp; IF(Table1[[#This Row],[J-P]]&gt;0.5,"J","P")</f>
        <v>ENFJ</v>
      </c>
      <c r="H339" s="93">
        <f>VALUE(LEFT(Table1[[#This Row],[Class]], FIND(".",Table1[[#This Row],[Class]])-1))</f>
        <v>11</v>
      </c>
      <c r="I339" s="93">
        <f>VALUE(RIGHT(Table1[[#This Row],[Class]],LEN(Table1[[#This Row],[Class]]) - FIND(".",Table1[[#This Row],[Class]])))</f>
        <v>2</v>
      </c>
    </row>
    <row r="340" spans="1:9" ht="21.6" x14ac:dyDescent="0.25">
      <c r="A340" s="10">
        <v>11231</v>
      </c>
      <c r="B340" s="91">
        <v>11.2</v>
      </c>
      <c r="C340" s="96">
        <v>0.73333333333333328</v>
      </c>
      <c r="D340" s="96">
        <v>6.6666666666666652E-2</v>
      </c>
      <c r="E340" s="96">
        <v>0.4</v>
      </c>
      <c r="F340" s="96">
        <v>0.66666666666666663</v>
      </c>
      <c r="G340" s="83" t="str">
        <f>IF(Table1[[#This Row],[I-E]]&gt;0.5,"I","E") &amp; IF(Table1[[#This Row],[S-N]]&gt;0.5,"S","N") &amp; IF(Table1[[#This Row],[T-F]]&gt;0.5,"T","F") &amp; IF(Table1[[#This Row],[J-P]]&gt;0.5,"J","P")</f>
        <v>INFJ</v>
      </c>
      <c r="H340" s="93">
        <f>VALUE(LEFT(Table1[[#This Row],[Class]], FIND(".",Table1[[#This Row],[Class]])-1))</f>
        <v>11</v>
      </c>
      <c r="I340" s="93">
        <f>VALUE(RIGHT(Table1[[#This Row],[Class]],LEN(Table1[[#This Row],[Class]]) - FIND(".",Table1[[#This Row],[Class]])))</f>
        <v>2</v>
      </c>
    </row>
    <row r="341" spans="1:9" ht="21.6" x14ac:dyDescent="0.25">
      <c r="A341" s="10">
        <v>11232</v>
      </c>
      <c r="B341" s="91">
        <v>11.2</v>
      </c>
      <c r="C341" s="96">
        <v>0.53333333333333333</v>
      </c>
      <c r="D341" s="96">
        <v>0.33333333333333326</v>
      </c>
      <c r="E341" s="96">
        <v>0.6</v>
      </c>
      <c r="F341" s="96">
        <v>0.53333333333333333</v>
      </c>
      <c r="G341" s="83" t="str">
        <f>IF(Table1[[#This Row],[I-E]]&gt;0.5,"I","E") &amp; IF(Table1[[#This Row],[S-N]]&gt;0.5,"S","N") &amp; IF(Table1[[#This Row],[T-F]]&gt;0.5,"T","F") &amp; IF(Table1[[#This Row],[J-P]]&gt;0.5,"J","P")</f>
        <v>INTJ</v>
      </c>
      <c r="H341" s="93">
        <f>VALUE(LEFT(Table1[[#This Row],[Class]], FIND(".",Table1[[#This Row],[Class]])-1))</f>
        <v>11</v>
      </c>
      <c r="I341" s="93">
        <f>VALUE(RIGHT(Table1[[#This Row],[Class]],LEN(Table1[[#This Row],[Class]]) - FIND(".",Table1[[#This Row],[Class]])))</f>
        <v>2</v>
      </c>
    </row>
    <row r="342" spans="1:9" ht="21.6" x14ac:dyDescent="0.25">
      <c r="A342" s="10">
        <v>11233</v>
      </c>
      <c r="B342" s="91">
        <v>11.2</v>
      </c>
      <c r="C342" s="96">
        <v>0.73333333333333328</v>
      </c>
      <c r="D342" s="96">
        <v>0.53333333333333333</v>
      </c>
      <c r="E342" s="96">
        <v>0.93333333333333335</v>
      </c>
      <c r="F342" s="96">
        <v>0.4</v>
      </c>
      <c r="G342" s="83" t="str">
        <f>IF(Table1[[#This Row],[I-E]]&gt;0.5,"I","E") &amp; IF(Table1[[#This Row],[S-N]]&gt;0.5,"S","N") &amp; IF(Table1[[#This Row],[T-F]]&gt;0.5,"T","F") &amp; IF(Table1[[#This Row],[J-P]]&gt;0.5,"J","P")</f>
        <v>ISTP</v>
      </c>
      <c r="H342" s="93">
        <f>VALUE(LEFT(Table1[[#This Row],[Class]], FIND(".",Table1[[#This Row],[Class]])-1))</f>
        <v>11</v>
      </c>
      <c r="I342" s="93">
        <f>VALUE(RIGHT(Table1[[#This Row],[Class]],LEN(Table1[[#This Row],[Class]]) - FIND(".",Table1[[#This Row],[Class]])))</f>
        <v>2</v>
      </c>
    </row>
    <row r="343" spans="1:9" ht="21.6" x14ac:dyDescent="0.25">
      <c r="A343" s="10">
        <v>11234</v>
      </c>
      <c r="B343" s="91">
        <v>11.2</v>
      </c>
      <c r="C343" s="96">
        <v>0.6</v>
      </c>
      <c r="D343" s="96">
        <v>0.26666666666666661</v>
      </c>
      <c r="E343" s="96">
        <v>0.8</v>
      </c>
      <c r="F343" s="96">
        <v>0.66666666666666663</v>
      </c>
      <c r="G343" s="83" t="str">
        <f>IF(Table1[[#This Row],[I-E]]&gt;0.5,"I","E") &amp; IF(Table1[[#This Row],[S-N]]&gt;0.5,"S","N") &amp; IF(Table1[[#This Row],[T-F]]&gt;0.5,"T","F") &amp; IF(Table1[[#This Row],[J-P]]&gt;0.5,"J","P")</f>
        <v>INTJ</v>
      </c>
      <c r="H343" s="93">
        <f>VALUE(LEFT(Table1[[#This Row],[Class]], FIND(".",Table1[[#This Row],[Class]])-1))</f>
        <v>11</v>
      </c>
      <c r="I343" s="93">
        <f>VALUE(RIGHT(Table1[[#This Row],[Class]],LEN(Table1[[#This Row],[Class]]) - FIND(".",Table1[[#This Row],[Class]])))</f>
        <v>2</v>
      </c>
    </row>
    <row r="344" spans="1:9" ht="21.6" x14ac:dyDescent="0.25">
      <c r="A344" s="10">
        <v>12101</v>
      </c>
      <c r="B344" s="91">
        <v>12.1</v>
      </c>
      <c r="C344" s="96">
        <v>0.8666666666666667</v>
      </c>
      <c r="D344" s="96">
        <v>0.46666666666666667</v>
      </c>
      <c r="E344" s="96">
        <v>0.66666666666666663</v>
      </c>
      <c r="F344" s="96">
        <v>0.4</v>
      </c>
      <c r="G344" s="83" t="str">
        <f>IF(Table1[[#This Row],[I-E]]&gt;0.5,"I","E") &amp; IF(Table1[[#This Row],[S-N]]&gt;0.5,"S","N") &amp; IF(Table1[[#This Row],[T-F]]&gt;0.5,"T","F") &amp; IF(Table1[[#This Row],[J-P]]&gt;0.5,"J","P")</f>
        <v>INTP</v>
      </c>
      <c r="H344" s="93">
        <f>VALUE(LEFT(Table1[[#This Row],[Class]], FIND(".",Table1[[#This Row],[Class]])-1))</f>
        <v>12</v>
      </c>
      <c r="I344" s="93">
        <f>VALUE(RIGHT(Table1[[#This Row],[Class]],LEN(Table1[[#This Row],[Class]]) - FIND(".",Table1[[#This Row],[Class]])))</f>
        <v>1</v>
      </c>
    </row>
    <row r="345" spans="1:9" ht="21.6" x14ac:dyDescent="0.25">
      <c r="A345" s="10">
        <v>12102</v>
      </c>
      <c r="B345" s="91">
        <v>12.1</v>
      </c>
      <c r="C345" s="96">
        <v>0.8</v>
      </c>
      <c r="D345" s="96">
        <v>0.46666666666666667</v>
      </c>
      <c r="E345" s="96">
        <v>0.8</v>
      </c>
      <c r="F345" s="96">
        <v>0.26666666666666661</v>
      </c>
      <c r="G345" s="83" t="str">
        <f>IF(Table1[[#This Row],[I-E]]&gt;0.5,"I","E") &amp; IF(Table1[[#This Row],[S-N]]&gt;0.5,"S","N") &amp; IF(Table1[[#This Row],[T-F]]&gt;0.5,"T","F") &amp; IF(Table1[[#This Row],[J-P]]&gt;0.5,"J","P")</f>
        <v>INTP</v>
      </c>
      <c r="H345" s="93">
        <f>VALUE(LEFT(Table1[[#This Row],[Class]], FIND(".",Table1[[#This Row],[Class]])-1))</f>
        <v>12</v>
      </c>
      <c r="I345" s="93">
        <f>VALUE(RIGHT(Table1[[#This Row],[Class]],LEN(Table1[[#This Row],[Class]]) - FIND(".",Table1[[#This Row],[Class]])))</f>
        <v>1</v>
      </c>
    </row>
    <row r="346" spans="1:9" ht="21.6" x14ac:dyDescent="0.25">
      <c r="A346" s="10">
        <v>12103</v>
      </c>
      <c r="B346" s="91">
        <v>12.1</v>
      </c>
      <c r="C346" s="96">
        <v>0.8666666666666667</v>
      </c>
      <c r="D346" s="96">
        <v>0.6</v>
      </c>
      <c r="E346" s="96">
        <v>0.73333333333333328</v>
      </c>
      <c r="F346" s="96">
        <v>0.6</v>
      </c>
      <c r="G346" s="83" t="str">
        <f>IF(Table1[[#This Row],[I-E]]&gt;0.5,"I","E") &amp; IF(Table1[[#This Row],[S-N]]&gt;0.5,"S","N") &amp; IF(Table1[[#This Row],[T-F]]&gt;0.5,"T","F") &amp; IF(Table1[[#This Row],[J-P]]&gt;0.5,"J","P")</f>
        <v>ISTJ</v>
      </c>
      <c r="H346" s="93">
        <f>VALUE(LEFT(Table1[[#This Row],[Class]], FIND(".",Table1[[#This Row],[Class]])-1))</f>
        <v>12</v>
      </c>
      <c r="I346" s="93">
        <f>VALUE(RIGHT(Table1[[#This Row],[Class]],LEN(Table1[[#This Row],[Class]]) - FIND(".",Table1[[#This Row],[Class]])))</f>
        <v>1</v>
      </c>
    </row>
    <row r="347" spans="1:9" ht="21.6" x14ac:dyDescent="0.25">
      <c r="A347" s="10">
        <v>12104</v>
      </c>
      <c r="B347" s="91">
        <v>12.1</v>
      </c>
      <c r="C347" s="96">
        <v>0.53333333333333333</v>
      </c>
      <c r="D347" s="96">
        <v>0.46666666666666667</v>
      </c>
      <c r="E347" s="96">
        <v>0.8</v>
      </c>
      <c r="F347" s="96">
        <v>0.8</v>
      </c>
      <c r="G347" s="83" t="str">
        <f>IF(Table1[[#This Row],[I-E]]&gt;0.5,"I","E") &amp; IF(Table1[[#This Row],[S-N]]&gt;0.5,"S","N") &amp; IF(Table1[[#This Row],[T-F]]&gt;0.5,"T","F") &amp; IF(Table1[[#This Row],[J-P]]&gt;0.5,"J","P")</f>
        <v>INTJ</v>
      </c>
      <c r="H347" s="93">
        <f>VALUE(LEFT(Table1[[#This Row],[Class]], FIND(".",Table1[[#This Row],[Class]])-1))</f>
        <v>12</v>
      </c>
      <c r="I347" s="93">
        <f>VALUE(RIGHT(Table1[[#This Row],[Class]],LEN(Table1[[#This Row],[Class]]) - FIND(".",Table1[[#This Row],[Class]])))</f>
        <v>1</v>
      </c>
    </row>
    <row r="348" spans="1:9" ht="21.6" x14ac:dyDescent="0.25">
      <c r="A348" s="10">
        <v>12105</v>
      </c>
      <c r="B348" s="91">
        <v>12.1</v>
      </c>
      <c r="C348" s="96">
        <v>0.8666666666666667</v>
      </c>
      <c r="D348" s="96">
        <v>0.46666666666666667</v>
      </c>
      <c r="E348" s="96">
        <v>0.8</v>
      </c>
      <c r="F348" s="96">
        <v>0.53333333333333333</v>
      </c>
      <c r="G348" s="83" t="str">
        <f>IF(Table1[[#This Row],[I-E]]&gt;0.5,"I","E") &amp; IF(Table1[[#This Row],[S-N]]&gt;0.5,"S","N") &amp; IF(Table1[[#This Row],[T-F]]&gt;0.5,"T","F") &amp; IF(Table1[[#This Row],[J-P]]&gt;0.5,"J","P")</f>
        <v>INTJ</v>
      </c>
      <c r="H348" s="93">
        <f>VALUE(LEFT(Table1[[#This Row],[Class]], FIND(".",Table1[[#This Row],[Class]])-1))</f>
        <v>12</v>
      </c>
      <c r="I348" s="93">
        <f>VALUE(RIGHT(Table1[[#This Row],[Class]],LEN(Table1[[#This Row],[Class]]) - FIND(".",Table1[[#This Row],[Class]])))</f>
        <v>1</v>
      </c>
    </row>
    <row r="349" spans="1:9" ht="21.6" x14ac:dyDescent="0.25">
      <c r="A349" s="10">
        <v>12106</v>
      </c>
      <c r="B349" s="91">
        <v>12.1</v>
      </c>
      <c r="C349" s="96">
        <v>0.53333333333333333</v>
      </c>
      <c r="D349" s="96">
        <v>0.26666666666666661</v>
      </c>
      <c r="E349" s="96">
        <v>0.73333333333333328</v>
      </c>
      <c r="F349" s="96">
        <v>0.66666666666666663</v>
      </c>
      <c r="G349" s="83" t="str">
        <f>IF(Table1[[#This Row],[I-E]]&gt;0.5,"I","E") &amp; IF(Table1[[#This Row],[S-N]]&gt;0.5,"S","N") &amp; IF(Table1[[#This Row],[T-F]]&gt;0.5,"T","F") &amp; IF(Table1[[#This Row],[J-P]]&gt;0.5,"J","P")</f>
        <v>INTJ</v>
      </c>
      <c r="H349" s="93">
        <f>VALUE(LEFT(Table1[[#This Row],[Class]], FIND(".",Table1[[#This Row],[Class]])-1))</f>
        <v>12</v>
      </c>
      <c r="I349" s="93">
        <f>VALUE(RIGHT(Table1[[#This Row],[Class]],LEN(Table1[[#This Row],[Class]]) - FIND(".",Table1[[#This Row],[Class]])))</f>
        <v>1</v>
      </c>
    </row>
    <row r="350" spans="1:9" ht="21.6" x14ac:dyDescent="0.25">
      <c r="A350" s="10">
        <v>12107</v>
      </c>
      <c r="B350" s="91">
        <v>12.1</v>
      </c>
      <c r="C350" s="96">
        <v>0.6</v>
      </c>
      <c r="D350" s="96">
        <v>0.46666666666666667</v>
      </c>
      <c r="E350" s="96">
        <v>0.73333333333333328</v>
      </c>
      <c r="F350" s="96">
        <v>0.46666666666666667</v>
      </c>
      <c r="G350" s="83" t="str">
        <f>IF(Table1[[#This Row],[I-E]]&gt;0.5,"I","E") &amp; IF(Table1[[#This Row],[S-N]]&gt;0.5,"S","N") &amp; IF(Table1[[#This Row],[T-F]]&gt;0.5,"T","F") &amp; IF(Table1[[#This Row],[J-P]]&gt;0.5,"J","P")</f>
        <v>INTP</v>
      </c>
      <c r="H350" s="93">
        <f>VALUE(LEFT(Table1[[#This Row],[Class]], FIND(".",Table1[[#This Row],[Class]])-1))</f>
        <v>12</v>
      </c>
      <c r="I350" s="93">
        <f>VALUE(RIGHT(Table1[[#This Row],[Class]],LEN(Table1[[#This Row],[Class]]) - FIND(".",Table1[[#This Row],[Class]])))</f>
        <v>1</v>
      </c>
    </row>
    <row r="351" spans="1:9" ht="21.6" x14ac:dyDescent="0.25">
      <c r="A351" s="10">
        <v>12108</v>
      </c>
      <c r="B351" s="91">
        <v>12.1</v>
      </c>
      <c r="C351" s="96">
        <v>0.46666666666666667</v>
      </c>
      <c r="D351" s="96">
        <v>0.46666666666666667</v>
      </c>
      <c r="E351" s="96">
        <v>0.73333333333333328</v>
      </c>
      <c r="F351" s="96">
        <v>0.53333333333333333</v>
      </c>
      <c r="G351" s="83" t="str">
        <f>IF(Table1[[#This Row],[I-E]]&gt;0.5,"I","E") &amp; IF(Table1[[#This Row],[S-N]]&gt;0.5,"S","N") &amp; IF(Table1[[#This Row],[T-F]]&gt;0.5,"T","F") &amp; IF(Table1[[#This Row],[J-P]]&gt;0.5,"J","P")</f>
        <v>ENTJ</v>
      </c>
      <c r="H351" s="93">
        <f>VALUE(LEFT(Table1[[#This Row],[Class]], FIND(".",Table1[[#This Row],[Class]])-1))</f>
        <v>12</v>
      </c>
      <c r="I351" s="93">
        <f>VALUE(RIGHT(Table1[[#This Row],[Class]],LEN(Table1[[#This Row],[Class]]) - FIND(".",Table1[[#This Row],[Class]])))</f>
        <v>1</v>
      </c>
    </row>
    <row r="352" spans="1:9" ht="21.6" x14ac:dyDescent="0.25">
      <c r="A352" s="10">
        <v>12109</v>
      </c>
      <c r="B352" s="91">
        <v>12.1</v>
      </c>
      <c r="C352" s="96">
        <v>0.6</v>
      </c>
      <c r="D352" s="96">
        <v>0.19999999999999996</v>
      </c>
      <c r="E352" s="96">
        <v>1</v>
      </c>
      <c r="F352" s="96">
        <v>0.1333333333333333</v>
      </c>
      <c r="G352" s="83" t="str">
        <f>IF(Table1[[#This Row],[I-E]]&gt;0.5,"I","E") &amp; IF(Table1[[#This Row],[S-N]]&gt;0.5,"S","N") &amp; IF(Table1[[#This Row],[T-F]]&gt;0.5,"T","F") &amp; IF(Table1[[#This Row],[J-P]]&gt;0.5,"J","P")</f>
        <v>INTP</v>
      </c>
      <c r="H352" s="93">
        <f>VALUE(LEFT(Table1[[#This Row],[Class]], FIND(".",Table1[[#This Row],[Class]])-1))</f>
        <v>12</v>
      </c>
      <c r="I352" s="93">
        <f>VALUE(RIGHT(Table1[[#This Row],[Class]],LEN(Table1[[#This Row],[Class]]) - FIND(".",Table1[[#This Row],[Class]])))</f>
        <v>1</v>
      </c>
    </row>
    <row r="353" spans="1:9" ht="21.6" x14ac:dyDescent="0.25">
      <c r="A353" s="10">
        <v>12110</v>
      </c>
      <c r="B353" s="91">
        <v>12.1</v>
      </c>
      <c r="C353" s="96">
        <v>0.8666666666666667</v>
      </c>
      <c r="D353" s="96">
        <v>0.6</v>
      </c>
      <c r="E353" s="96">
        <v>0.73333333333333328</v>
      </c>
      <c r="F353" s="96">
        <v>0.8</v>
      </c>
      <c r="G353" s="83" t="str">
        <f>IF(Table1[[#This Row],[I-E]]&gt;0.5,"I","E") &amp; IF(Table1[[#This Row],[S-N]]&gt;0.5,"S","N") &amp; IF(Table1[[#This Row],[T-F]]&gt;0.5,"T","F") &amp; IF(Table1[[#This Row],[J-P]]&gt;0.5,"J","P")</f>
        <v>ISTJ</v>
      </c>
      <c r="H353" s="93">
        <f>VALUE(LEFT(Table1[[#This Row],[Class]], FIND(".",Table1[[#This Row],[Class]])-1))</f>
        <v>12</v>
      </c>
      <c r="I353" s="93">
        <f>VALUE(RIGHT(Table1[[#This Row],[Class]],LEN(Table1[[#This Row],[Class]]) - FIND(".",Table1[[#This Row],[Class]])))</f>
        <v>1</v>
      </c>
    </row>
    <row r="354" spans="1:9" ht="21.6" x14ac:dyDescent="0.25">
      <c r="A354" s="10">
        <v>12111</v>
      </c>
      <c r="B354" s="91">
        <v>12.1</v>
      </c>
      <c r="C354" s="96">
        <v>0.53333333333333333</v>
      </c>
      <c r="D354" s="96">
        <v>0.8</v>
      </c>
      <c r="E354" s="96">
        <v>0.66666666666666663</v>
      </c>
      <c r="F354" s="96">
        <v>0.66666666666666663</v>
      </c>
      <c r="G354" s="83" t="str">
        <f>IF(Table1[[#This Row],[I-E]]&gt;0.5,"I","E") &amp; IF(Table1[[#This Row],[S-N]]&gt;0.5,"S","N") &amp; IF(Table1[[#This Row],[T-F]]&gt;0.5,"T","F") &amp; IF(Table1[[#This Row],[J-P]]&gt;0.5,"J","P")</f>
        <v>ISTJ</v>
      </c>
      <c r="H354" s="93">
        <f>VALUE(LEFT(Table1[[#This Row],[Class]], FIND(".",Table1[[#This Row],[Class]])-1))</f>
        <v>12</v>
      </c>
      <c r="I354" s="93">
        <f>VALUE(RIGHT(Table1[[#This Row],[Class]],LEN(Table1[[#This Row],[Class]]) - FIND(".",Table1[[#This Row],[Class]])))</f>
        <v>1</v>
      </c>
    </row>
    <row r="355" spans="1:9" ht="21.6" x14ac:dyDescent="0.25">
      <c r="A355" s="10">
        <v>12112</v>
      </c>
      <c r="B355" s="91">
        <v>12.1</v>
      </c>
      <c r="C355" s="96">
        <v>0.93333333333333335</v>
      </c>
      <c r="D355" s="96">
        <v>1</v>
      </c>
      <c r="E355" s="96">
        <v>0.8666666666666667</v>
      </c>
      <c r="F355" s="96">
        <v>0.6</v>
      </c>
      <c r="G355" s="83" t="str">
        <f>IF(Table1[[#This Row],[I-E]]&gt;0.5,"I","E") &amp; IF(Table1[[#This Row],[S-N]]&gt;0.5,"S","N") &amp; IF(Table1[[#This Row],[T-F]]&gt;0.5,"T","F") &amp; IF(Table1[[#This Row],[J-P]]&gt;0.5,"J","P")</f>
        <v>ISTJ</v>
      </c>
      <c r="H355" s="93">
        <f>VALUE(LEFT(Table1[[#This Row],[Class]], FIND(".",Table1[[#This Row],[Class]])-1))</f>
        <v>12</v>
      </c>
      <c r="I355" s="93">
        <f>VALUE(RIGHT(Table1[[#This Row],[Class]],LEN(Table1[[#This Row],[Class]]) - FIND(".",Table1[[#This Row],[Class]])))</f>
        <v>1</v>
      </c>
    </row>
    <row r="356" spans="1:9" ht="21.6" x14ac:dyDescent="0.25">
      <c r="A356" s="10">
        <v>12113</v>
      </c>
      <c r="B356" s="91">
        <v>12.1</v>
      </c>
      <c r="C356" s="96">
        <v>0.73333333333333328</v>
      </c>
      <c r="D356" s="96">
        <v>0.33333333333333326</v>
      </c>
      <c r="E356" s="96">
        <v>0.53333333333333333</v>
      </c>
      <c r="F356" s="96">
        <v>0.46666666666666667</v>
      </c>
      <c r="G356" s="83" t="str">
        <f>IF(Table1[[#This Row],[I-E]]&gt;0.5,"I","E") &amp; IF(Table1[[#This Row],[S-N]]&gt;0.5,"S","N") &amp; IF(Table1[[#This Row],[T-F]]&gt;0.5,"T","F") &amp; IF(Table1[[#This Row],[J-P]]&gt;0.5,"J","P")</f>
        <v>INTP</v>
      </c>
      <c r="H356" s="93">
        <f>VALUE(LEFT(Table1[[#This Row],[Class]], FIND(".",Table1[[#This Row],[Class]])-1))</f>
        <v>12</v>
      </c>
      <c r="I356" s="93">
        <f>VALUE(RIGHT(Table1[[#This Row],[Class]],LEN(Table1[[#This Row],[Class]]) - FIND(".",Table1[[#This Row],[Class]])))</f>
        <v>1</v>
      </c>
    </row>
    <row r="357" spans="1:9" ht="21.6" x14ac:dyDescent="0.25">
      <c r="A357" s="10">
        <v>12114</v>
      </c>
      <c r="B357" s="91">
        <v>12.1</v>
      </c>
      <c r="C357" s="96">
        <v>0.46666666666666667</v>
      </c>
      <c r="D357" s="96">
        <v>0.46666666666666667</v>
      </c>
      <c r="E357" s="96">
        <v>0.93333333333333335</v>
      </c>
      <c r="F357" s="96">
        <v>0.33333333333333326</v>
      </c>
      <c r="G357" s="83" t="str">
        <f>IF(Table1[[#This Row],[I-E]]&gt;0.5,"I","E") &amp; IF(Table1[[#This Row],[S-N]]&gt;0.5,"S","N") &amp; IF(Table1[[#This Row],[T-F]]&gt;0.5,"T","F") &amp; IF(Table1[[#This Row],[J-P]]&gt;0.5,"J","P")</f>
        <v>ENTP</v>
      </c>
      <c r="H357" s="93">
        <f>VALUE(LEFT(Table1[[#This Row],[Class]], FIND(".",Table1[[#This Row],[Class]])-1))</f>
        <v>12</v>
      </c>
      <c r="I357" s="93">
        <f>VALUE(RIGHT(Table1[[#This Row],[Class]],LEN(Table1[[#This Row],[Class]]) - FIND(".",Table1[[#This Row],[Class]])))</f>
        <v>1</v>
      </c>
    </row>
    <row r="358" spans="1:9" ht="21.6" x14ac:dyDescent="0.25">
      <c r="A358" s="10">
        <v>12115</v>
      </c>
      <c r="B358" s="91">
        <v>12.1</v>
      </c>
      <c r="C358" s="96">
        <v>0.6</v>
      </c>
      <c r="D358" s="96">
        <v>0.46666666666666667</v>
      </c>
      <c r="E358" s="96">
        <v>0.8666666666666667</v>
      </c>
      <c r="F358" s="96">
        <v>0.66666666666666663</v>
      </c>
      <c r="G358" s="83" t="str">
        <f>IF(Table1[[#This Row],[I-E]]&gt;0.5,"I","E") &amp; IF(Table1[[#This Row],[S-N]]&gt;0.5,"S","N") &amp; IF(Table1[[#This Row],[T-F]]&gt;0.5,"T","F") &amp; IF(Table1[[#This Row],[J-P]]&gt;0.5,"J","P")</f>
        <v>INTJ</v>
      </c>
      <c r="H358" s="93">
        <f>VALUE(LEFT(Table1[[#This Row],[Class]], FIND(".",Table1[[#This Row],[Class]])-1))</f>
        <v>12</v>
      </c>
      <c r="I358" s="93">
        <f>VALUE(RIGHT(Table1[[#This Row],[Class]],LEN(Table1[[#This Row],[Class]]) - FIND(".",Table1[[#This Row],[Class]])))</f>
        <v>1</v>
      </c>
    </row>
    <row r="359" spans="1:9" ht="21.6" x14ac:dyDescent="0.25">
      <c r="A359" s="10">
        <v>12116</v>
      </c>
      <c r="B359" s="91">
        <v>12.1</v>
      </c>
      <c r="C359" s="96">
        <v>0.46666666666666667</v>
      </c>
      <c r="D359" s="96">
        <v>0.26666666666666661</v>
      </c>
      <c r="E359" s="96">
        <v>0.8</v>
      </c>
      <c r="F359" s="96">
        <v>0.19999999999999996</v>
      </c>
      <c r="G359" s="83" t="str">
        <f>IF(Table1[[#This Row],[I-E]]&gt;0.5,"I","E") &amp; IF(Table1[[#This Row],[S-N]]&gt;0.5,"S","N") &amp; IF(Table1[[#This Row],[T-F]]&gt;0.5,"T","F") &amp; IF(Table1[[#This Row],[J-P]]&gt;0.5,"J","P")</f>
        <v>ENTP</v>
      </c>
      <c r="H359" s="93">
        <f>VALUE(LEFT(Table1[[#This Row],[Class]], FIND(".",Table1[[#This Row],[Class]])-1))</f>
        <v>12</v>
      </c>
      <c r="I359" s="93">
        <f>VALUE(RIGHT(Table1[[#This Row],[Class]],LEN(Table1[[#This Row],[Class]]) - FIND(".",Table1[[#This Row],[Class]])))</f>
        <v>1</v>
      </c>
    </row>
    <row r="360" spans="1:9" ht="21.6" x14ac:dyDescent="0.25">
      <c r="A360" s="10">
        <v>12117</v>
      </c>
      <c r="B360" s="91">
        <v>12.1</v>
      </c>
      <c r="C360" s="96">
        <v>0.53333333333333333</v>
      </c>
      <c r="D360" s="96">
        <v>0.66666666666666663</v>
      </c>
      <c r="E360" s="96">
        <v>1</v>
      </c>
      <c r="F360" s="96">
        <v>0.46666666666666667</v>
      </c>
      <c r="G360" s="83" t="str">
        <f>IF(Table1[[#This Row],[I-E]]&gt;0.5,"I","E") &amp; IF(Table1[[#This Row],[S-N]]&gt;0.5,"S","N") &amp; IF(Table1[[#This Row],[T-F]]&gt;0.5,"T","F") &amp; IF(Table1[[#This Row],[J-P]]&gt;0.5,"J","P")</f>
        <v>ISTP</v>
      </c>
      <c r="H360" s="93">
        <f>VALUE(LEFT(Table1[[#This Row],[Class]], FIND(".",Table1[[#This Row],[Class]])-1))</f>
        <v>12</v>
      </c>
      <c r="I360" s="93">
        <f>VALUE(RIGHT(Table1[[#This Row],[Class]],LEN(Table1[[#This Row],[Class]]) - FIND(".",Table1[[#This Row],[Class]])))</f>
        <v>1</v>
      </c>
    </row>
    <row r="361" spans="1:9" ht="21.6" x14ac:dyDescent="0.25">
      <c r="A361" s="10">
        <v>12118</v>
      </c>
      <c r="B361" s="91">
        <v>12.1</v>
      </c>
      <c r="C361" s="96">
        <v>0.66666666666666663</v>
      </c>
      <c r="D361" s="96">
        <v>0.26666666666666661</v>
      </c>
      <c r="E361" s="96">
        <v>0.8</v>
      </c>
      <c r="F361" s="96">
        <v>0.6</v>
      </c>
      <c r="G361" s="83" t="str">
        <f>IF(Table1[[#This Row],[I-E]]&gt;0.5,"I","E") &amp; IF(Table1[[#This Row],[S-N]]&gt;0.5,"S","N") &amp; IF(Table1[[#This Row],[T-F]]&gt;0.5,"T","F") &amp; IF(Table1[[#This Row],[J-P]]&gt;0.5,"J","P")</f>
        <v>INTJ</v>
      </c>
      <c r="H361" s="93">
        <f>VALUE(LEFT(Table1[[#This Row],[Class]], FIND(".",Table1[[#This Row],[Class]])-1))</f>
        <v>12</v>
      </c>
      <c r="I361" s="93">
        <f>VALUE(RIGHT(Table1[[#This Row],[Class]],LEN(Table1[[#This Row],[Class]]) - FIND(".",Table1[[#This Row],[Class]])))</f>
        <v>1</v>
      </c>
    </row>
    <row r="362" spans="1:9" ht="21.6" x14ac:dyDescent="0.25">
      <c r="A362" s="10">
        <v>12119</v>
      </c>
      <c r="B362" s="91">
        <v>12.1</v>
      </c>
      <c r="C362" s="96">
        <v>0.93333333333333335</v>
      </c>
      <c r="D362" s="96">
        <v>0.46666666666666667</v>
      </c>
      <c r="E362" s="96">
        <v>0.8666666666666667</v>
      </c>
      <c r="F362" s="96">
        <v>0.19999999999999996</v>
      </c>
      <c r="G362" s="83" t="str">
        <f>IF(Table1[[#This Row],[I-E]]&gt;0.5,"I","E") &amp; IF(Table1[[#This Row],[S-N]]&gt;0.5,"S","N") &amp; IF(Table1[[#This Row],[T-F]]&gt;0.5,"T","F") &amp; IF(Table1[[#This Row],[J-P]]&gt;0.5,"J","P")</f>
        <v>INTP</v>
      </c>
      <c r="H362" s="93">
        <f>VALUE(LEFT(Table1[[#This Row],[Class]], FIND(".",Table1[[#This Row],[Class]])-1))</f>
        <v>12</v>
      </c>
      <c r="I362" s="93">
        <f>VALUE(RIGHT(Table1[[#This Row],[Class]],LEN(Table1[[#This Row],[Class]]) - FIND(".",Table1[[#This Row],[Class]])))</f>
        <v>1</v>
      </c>
    </row>
    <row r="363" spans="1:9" ht="21.6" x14ac:dyDescent="0.25">
      <c r="A363" s="10">
        <v>12120</v>
      </c>
      <c r="B363" s="91">
        <v>12.1</v>
      </c>
      <c r="C363" s="96">
        <v>0.6</v>
      </c>
      <c r="D363" s="96">
        <v>0.33333333333333326</v>
      </c>
      <c r="E363" s="96">
        <v>0.53333333333333333</v>
      </c>
      <c r="F363" s="96">
        <v>0.6</v>
      </c>
      <c r="G363" s="83" t="str">
        <f>IF(Table1[[#This Row],[I-E]]&gt;0.5,"I","E") &amp; IF(Table1[[#This Row],[S-N]]&gt;0.5,"S","N") &amp; IF(Table1[[#This Row],[T-F]]&gt;0.5,"T","F") &amp; IF(Table1[[#This Row],[J-P]]&gt;0.5,"J","P")</f>
        <v>INTJ</v>
      </c>
      <c r="H363" s="93">
        <f>VALUE(LEFT(Table1[[#This Row],[Class]], FIND(".",Table1[[#This Row],[Class]])-1))</f>
        <v>12</v>
      </c>
      <c r="I363" s="93">
        <f>VALUE(RIGHT(Table1[[#This Row],[Class]],LEN(Table1[[#This Row],[Class]]) - FIND(".",Table1[[#This Row],[Class]])))</f>
        <v>1</v>
      </c>
    </row>
    <row r="364" spans="1:9" ht="21.6" x14ac:dyDescent="0.25">
      <c r="A364" s="10">
        <v>12121</v>
      </c>
      <c r="B364" s="91">
        <v>12.1</v>
      </c>
      <c r="C364" s="96">
        <v>0.66666666666666663</v>
      </c>
      <c r="D364" s="96">
        <v>0.33333333333333326</v>
      </c>
      <c r="E364" s="96">
        <v>0.73333333333333328</v>
      </c>
      <c r="F364" s="96">
        <v>0.8</v>
      </c>
      <c r="G364" s="83" t="str">
        <f>IF(Table1[[#This Row],[I-E]]&gt;0.5,"I","E") &amp; IF(Table1[[#This Row],[S-N]]&gt;0.5,"S","N") &amp; IF(Table1[[#This Row],[T-F]]&gt;0.5,"T","F") &amp; IF(Table1[[#This Row],[J-P]]&gt;0.5,"J","P")</f>
        <v>INTJ</v>
      </c>
      <c r="H364" s="93">
        <f>VALUE(LEFT(Table1[[#This Row],[Class]], FIND(".",Table1[[#This Row],[Class]])-1))</f>
        <v>12</v>
      </c>
      <c r="I364" s="93">
        <f>VALUE(RIGHT(Table1[[#This Row],[Class]],LEN(Table1[[#This Row],[Class]]) - FIND(".",Table1[[#This Row],[Class]])))</f>
        <v>1</v>
      </c>
    </row>
    <row r="365" spans="1:9" ht="21.6" x14ac:dyDescent="0.25">
      <c r="A365" s="10">
        <v>12122</v>
      </c>
      <c r="B365" s="91">
        <v>12.1</v>
      </c>
      <c r="C365" s="96">
        <v>0.73333333333333328</v>
      </c>
      <c r="D365" s="96">
        <v>0.66666666666666663</v>
      </c>
      <c r="E365" s="96">
        <v>0.8</v>
      </c>
      <c r="F365" s="96">
        <v>0.46666666666666667</v>
      </c>
      <c r="G365" s="83" t="str">
        <f>IF(Table1[[#This Row],[I-E]]&gt;0.5,"I","E") &amp; IF(Table1[[#This Row],[S-N]]&gt;0.5,"S","N") &amp; IF(Table1[[#This Row],[T-F]]&gt;0.5,"T","F") &amp; IF(Table1[[#This Row],[J-P]]&gt;0.5,"J","P")</f>
        <v>ISTP</v>
      </c>
      <c r="H365" s="93">
        <f>VALUE(LEFT(Table1[[#This Row],[Class]], FIND(".",Table1[[#This Row],[Class]])-1))</f>
        <v>12</v>
      </c>
      <c r="I365" s="93">
        <f>VALUE(RIGHT(Table1[[#This Row],[Class]],LEN(Table1[[#This Row],[Class]]) - FIND(".",Table1[[#This Row],[Class]])))</f>
        <v>1</v>
      </c>
    </row>
    <row r="366" spans="1:9" ht="21.6" x14ac:dyDescent="0.25">
      <c r="A366" s="10">
        <v>12123</v>
      </c>
      <c r="B366" s="91">
        <v>12.1</v>
      </c>
      <c r="C366" s="96">
        <v>0.53333333333333333</v>
      </c>
      <c r="D366" s="96">
        <v>0.53333333333333333</v>
      </c>
      <c r="E366" s="96">
        <v>1</v>
      </c>
      <c r="F366" s="96">
        <v>0.4</v>
      </c>
      <c r="G366" s="83" t="str">
        <f>IF(Table1[[#This Row],[I-E]]&gt;0.5,"I","E") &amp; IF(Table1[[#This Row],[S-N]]&gt;0.5,"S","N") &amp; IF(Table1[[#This Row],[T-F]]&gt;0.5,"T","F") &amp; IF(Table1[[#This Row],[J-P]]&gt;0.5,"J","P")</f>
        <v>ISTP</v>
      </c>
      <c r="H366" s="93">
        <f>VALUE(LEFT(Table1[[#This Row],[Class]], FIND(".",Table1[[#This Row],[Class]])-1))</f>
        <v>12</v>
      </c>
      <c r="I366" s="93">
        <f>VALUE(RIGHT(Table1[[#This Row],[Class]],LEN(Table1[[#This Row],[Class]]) - FIND(".",Table1[[#This Row],[Class]])))</f>
        <v>1</v>
      </c>
    </row>
    <row r="367" spans="1:9" ht="21.6" x14ac:dyDescent="0.25">
      <c r="A367" s="10">
        <v>12124</v>
      </c>
      <c r="B367" s="91">
        <v>12.1</v>
      </c>
      <c r="C367" s="96">
        <v>0.6</v>
      </c>
      <c r="D367" s="96">
        <v>0.53333333333333333</v>
      </c>
      <c r="E367" s="96">
        <v>0.8666666666666667</v>
      </c>
      <c r="F367" s="96">
        <v>0.53333333333333333</v>
      </c>
      <c r="G367" s="83" t="str">
        <f>IF(Table1[[#This Row],[I-E]]&gt;0.5,"I","E") &amp; IF(Table1[[#This Row],[S-N]]&gt;0.5,"S","N") &amp; IF(Table1[[#This Row],[T-F]]&gt;0.5,"T","F") &amp; IF(Table1[[#This Row],[J-P]]&gt;0.5,"J","P")</f>
        <v>ISTJ</v>
      </c>
      <c r="H367" s="93">
        <f>VALUE(LEFT(Table1[[#This Row],[Class]], FIND(".",Table1[[#This Row],[Class]])-1))</f>
        <v>12</v>
      </c>
      <c r="I367" s="93">
        <f>VALUE(RIGHT(Table1[[#This Row],[Class]],LEN(Table1[[#This Row],[Class]]) - FIND(".",Table1[[#This Row],[Class]])))</f>
        <v>1</v>
      </c>
    </row>
    <row r="368" spans="1:9" ht="21.6" x14ac:dyDescent="0.25">
      <c r="A368" s="10">
        <v>12125</v>
      </c>
      <c r="B368" s="91">
        <v>12.1</v>
      </c>
      <c r="C368" s="96">
        <v>0.53333333333333333</v>
      </c>
      <c r="D368" s="96">
        <v>0.53333333333333333</v>
      </c>
      <c r="E368" s="96">
        <v>0.8</v>
      </c>
      <c r="F368" s="96">
        <v>0.46666666666666667</v>
      </c>
      <c r="G368" s="83" t="str">
        <f>IF(Table1[[#This Row],[I-E]]&gt;0.5,"I","E") &amp; IF(Table1[[#This Row],[S-N]]&gt;0.5,"S","N") &amp; IF(Table1[[#This Row],[T-F]]&gt;0.5,"T","F") &amp; IF(Table1[[#This Row],[J-P]]&gt;0.5,"J","P")</f>
        <v>ISTP</v>
      </c>
      <c r="H368" s="93">
        <f>VALUE(LEFT(Table1[[#This Row],[Class]], FIND(".",Table1[[#This Row],[Class]])-1))</f>
        <v>12</v>
      </c>
      <c r="I368" s="93">
        <f>VALUE(RIGHT(Table1[[#This Row],[Class]],LEN(Table1[[#This Row],[Class]]) - FIND(".",Table1[[#This Row],[Class]])))</f>
        <v>1</v>
      </c>
    </row>
    <row r="369" spans="1:9" ht="21.6" x14ac:dyDescent="0.25">
      <c r="A369" s="10">
        <v>12126</v>
      </c>
      <c r="B369" s="91">
        <v>12.1</v>
      </c>
      <c r="C369" s="96">
        <v>0.8666666666666667</v>
      </c>
      <c r="D369" s="96">
        <v>0.4</v>
      </c>
      <c r="E369" s="96">
        <v>1</v>
      </c>
      <c r="F369" s="96">
        <v>0.26666666666666661</v>
      </c>
      <c r="G369" s="83" t="str">
        <f>IF(Table1[[#This Row],[I-E]]&gt;0.5,"I","E") &amp; IF(Table1[[#This Row],[S-N]]&gt;0.5,"S","N") &amp; IF(Table1[[#This Row],[T-F]]&gt;0.5,"T","F") &amp; IF(Table1[[#This Row],[J-P]]&gt;0.5,"J","P")</f>
        <v>INTP</v>
      </c>
      <c r="H369" s="93">
        <f>VALUE(LEFT(Table1[[#This Row],[Class]], FIND(".",Table1[[#This Row],[Class]])-1))</f>
        <v>12</v>
      </c>
      <c r="I369" s="93">
        <f>VALUE(RIGHT(Table1[[#This Row],[Class]],LEN(Table1[[#This Row],[Class]]) - FIND(".",Table1[[#This Row],[Class]])))</f>
        <v>1</v>
      </c>
    </row>
    <row r="370" spans="1:9" ht="21.6" x14ac:dyDescent="0.25">
      <c r="A370" s="10">
        <v>12127</v>
      </c>
      <c r="B370" s="91">
        <v>12.1</v>
      </c>
      <c r="C370" s="96">
        <v>0.53333333333333333</v>
      </c>
      <c r="D370" s="96">
        <v>0.6</v>
      </c>
      <c r="E370" s="96">
        <v>0.66666666666666663</v>
      </c>
      <c r="F370" s="96">
        <v>0.6</v>
      </c>
      <c r="G370" s="83" t="str">
        <f>IF(Table1[[#This Row],[I-E]]&gt;0.5,"I","E") &amp; IF(Table1[[#This Row],[S-N]]&gt;0.5,"S","N") &amp; IF(Table1[[#This Row],[T-F]]&gt;0.5,"T","F") &amp; IF(Table1[[#This Row],[J-P]]&gt;0.5,"J","P")</f>
        <v>ISTJ</v>
      </c>
      <c r="H370" s="93">
        <f>VALUE(LEFT(Table1[[#This Row],[Class]], FIND(".",Table1[[#This Row],[Class]])-1))</f>
        <v>12</v>
      </c>
      <c r="I370" s="93">
        <f>VALUE(RIGHT(Table1[[#This Row],[Class]],LEN(Table1[[#This Row],[Class]]) - FIND(".",Table1[[#This Row],[Class]])))</f>
        <v>1</v>
      </c>
    </row>
    <row r="371" spans="1:9" ht="21.6" x14ac:dyDescent="0.25">
      <c r="A371" s="10">
        <v>12128</v>
      </c>
      <c r="B371" s="91">
        <v>12.1</v>
      </c>
      <c r="C371" s="96">
        <v>0.73333333333333328</v>
      </c>
      <c r="D371" s="96">
        <v>0.53333333333333333</v>
      </c>
      <c r="E371" s="96">
        <v>0.73333333333333328</v>
      </c>
      <c r="F371" s="96">
        <v>0.19999999999999996</v>
      </c>
      <c r="G371" s="83" t="str">
        <f>IF(Table1[[#This Row],[I-E]]&gt;0.5,"I","E") &amp; IF(Table1[[#This Row],[S-N]]&gt;0.5,"S","N") &amp; IF(Table1[[#This Row],[T-F]]&gt;0.5,"T","F") &amp; IF(Table1[[#This Row],[J-P]]&gt;0.5,"J","P")</f>
        <v>ISTP</v>
      </c>
      <c r="H371" s="93">
        <f>VALUE(LEFT(Table1[[#This Row],[Class]], FIND(".",Table1[[#This Row],[Class]])-1))</f>
        <v>12</v>
      </c>
      <c r="I371" s="93">
        <f>VALUE(RIGHT(Table1[[#This Row],[Class]],LEN(Table1[[#This Row],[Class]]) - FIND(".",Table1[[#This Row],[Class]])))</f>
        <v>1</v>
      </c>
    </row>
    <row r="372" spans="1:9" ht="21.6" x14ac:dyDescent="0.25">
      <c r="A372" s="10">
        <v>12129</v>
      </c>
      <c r="B372" s="91">
        <v>12.1</v>
      </c>
      <c r="C372" s="96">
        <v>0.66666666666666663</v>
      </c>
      <c r="D372" s="96">
        <v>0.4</v>
      </c>
      <c r="E372" s="96">
        <v>0.8</v>
      </c>
      <c r="F372" s="96">
        <v>0.8</v>
      </c>
      <c r="G372" s="83" t="str">
        <f>IF(Table1[[#This Row],[I-E]]&gt;0.5,"I","E") &amp; IF(Table1[[#This Row],[S-N]]&gt;0.5,"S","N") &amp; IF(Table1[[#This Row],[T-F]]&gt;0.5,"T","F") &amp; IF(Table1[[#This Row],[J-P]]&gt;0.5,"J","P")</f>
        <v>INTJ</v>
      </c>
      <c r="H372" s="93">
        <f>VALUE(LEFT(Table1[[#This Row],[Class]], FIND(".",Table1[[#This Row],[Class]])-1))</f>
        <v>12</v>
      </c>
      <c r="I372" s="93">
        <f>VALUE(RIGHT(Table1[[#This Row],[Class]],LEN(Table1[[#This Row],[Class]]) - FIND(".",Table1[[#This Row],[Class]])))</f>
        <v>1</v>
      </c>
    </row>
    <row r="373" spans="1:9" ht="21.6" x14ac:dyDescent="0.25">
      <c r="A373" s="10">
        <v>12130</v>
      </c>
      <c r="B373" s="91">
        <v>12.1</v>
      </c>
      <c r="C373" s="96">
        <v>0.8</v>
      </c>
      <c r="D373" s="96">
        <v>0.4</v>
      </c>
      <c r="E373" s="96">
        <v>0.8666666666666667</v>
      </c>
      <c r="F373" s="96">
        <v>0.26666666666666661</v>
      </c>
      <c r="G373" s="83" t="str">
        <f>IF(Table1[[#This Row],[I-E]]&gt;0.5,"I","E") &amp; IF(Table1[[#This Row],[S-N]]&gt;0.5,"S","N") &amp; IF(Table1[[#This Row],[T-F]]&gt;0.5,"T","F") &amp; IF(Table1[[#This Row],[J-P]]&gt;0.5,"J","P")</f>
        <v>INTP</v>
      </c>
      <c r="H373" s="93">
        <f>VALUE(LEFT(Table1[[#This Row],[Class]], FIND(".",Table1[[#This Row],[Class]])-1))</f>
        <v>12</v>
      </c>
      <c r="I373" s="93">
        <f>VALUE(RIGHT(Table1[[#This Row],[Class]],LEN(Table1[[#This Row],[Class]]) - FIND(".",Table1[[#This Row],[Class]])))</f>
        <v>1</v>
      </c>
    </row>
    <row r="374" spans="1:9" ht="21.6" x14ac:dyDescent="0.25">
      <c r="A374" s="10">
        <v>12131</v>
      </c>
      <c r="B374" s="91">
        <v>12.1</v>
      </c>
      <c r="C374" s="96">
        <v>0.46666666666666667</v>
      </c>
      <c r="D374" s="96">
        <v>0.53333333333333333</v>
      </c>
      <c r="E374" s="96">
        <v>0.8</v>
      </c>
      <c r="F374" s="96">
        <v>0.46666666666666667</v>
      </c>
      <c r="G374" s="83" t="str">
        <f>IF(Table1[[#This Row],[I-E]]&gt;0.5,"I","E") &amp; IF(Table1[[#This Row],[S-N]]&gt;0.5,"S","N") &amp; IF(Table1[[#This Row],[T-F]]&gt;0.5,"T","F") &amp; IF(Table1[[#This Row],[J-P]]&gt;0.5,"J","P")</f>
        <v>ESTP</v>
      </c>
      <c r="H374" s="93">
        <f>VALUE(LEFT(Table1[[#This Row],[Class]], FIND(".",Table1[[#This Row],[Class]])-1))</f>
        <v>12</v>
      </c>
      <c r="I374" s="93">
        <f>VALUE(RIGHT(Table1[[#This Row],[Class]],LEN(Table1[[#This Row],[Class]]) - FIND(".",Table1[[#This Row],[Class]])))</f>
        <v>1</v>
      </c>
    </row>
    <row r="375" spans="1:9" ht="21.6" x14ac:dyDescent="0.25">
      <c r="A375" s="10">
        <v>12132</v>
      </c>
      <c r="B375" s="91">
        <v>12.1</v>
      </c>
      <c r="C375" s="96">
        <v>0.66666666666666663</v>
      </c>
      <c r="D375" s="96">
        <v>0.6</v>
      </c>
      <c r="E375" s="96">
        <v>0.93333333333333335</v>
      </c>
      <c r="F375" s="96">
        <v>0.1333333333333333</v>
      </c>
      <c r="G375" s="83" t="str">
        <f>IF(Table1[[#This Row],[I-E]]&gt;0.5,"I","E") &amp; IF(Table1[[#This Row],[S-N]]&gt;0.5,"S","N") &amp; IF(Table1[[#This Row],[T-F]]&gt;0.5,"T","F") &amp; IF(Table1[[#This Row],[J-P]]&gt;0.5,"J","P")</f>
        <v>ISTP</v>
      </c>
      <c r="H375" s="93">
        <f>VALUE(LEFT(Table1[[#This Row],[Class]], FIND(".",Table1[[#This Row],[Class]])-1))</f>
        <v>12</v>
      </c>
      <c r="I375" s="93">
        <f>VALUE(RIGHT(Table1[[#This Row],[Class]],LEN(Table1[[#This Row],[Class]]) - FIND(".",Table1[[#This Row],[Class]])))</f>
        <v>1</v>
      </c>
    </row>
    <row r="376" spans="1:9" ht="21.6" x14ac:dyDescent="0.25">
      <c r="A376" s="10">
        <v>12133</v>
      </c>
      <c r="B376" s="91">
        <v>12.1</v>
      </c>
      <c r="C376" s="96">
        <v>0.46666666666666667</v>
      </c>
      <c r="D376" s="96">
        <v>0.6</v>
      </c>
      <c r="E376" s="96">
        <v>0.8</v>
      </c>
      <c r="F376" s="96">
        <v>0.6</v>
      </c>
      <c r="G376" s="83" t="str">
        <f>IF(Table1[[#This Row],[I-E]]&gt;0.5,"I","E") &amp; IF(Table1[[#This Row],[S-N]]&gt;0.5,"S","N") &amp; IF(Table1[[#This Row],[T-F]]&gt;0.5,"T","F") &amp; IF(Table1[[#This Row],[J-P]]&gt;0.5,"J","P")</f>
        <v>ESTJ</v>
      </c>
      <c r="H376" s="93">
        <f>VALUE(LEFT(Table1[[#This Row],[Class]], FIND(".",Table1[[#This Row],[Class]])-1))</f>
        <v>12</v>
      </c>
      <c r="I376" s="93">
        <f>VALUE(RIGHT(Table1[[#This Row],[Class]],LEN(Table1[[#This Row],[Class]]) - FIND(".",Table1[[#This Row],[Class]])))</f>
        <v>1</v>
      </c>
    </row>
    <row r="377" spans="1:9" ht="21.6" x14ac:dyDescent="0.25">
      <c r="A377" s="10">
        <v>12134</v>
      </c>
      <c r="B377" s="91">
        <v>12.1</v>
      </c>
      <c r="C377" s="96">
        <v>0.66666666666666663</v>
      </c>
      <c r="D377" s="96">
        <v>0.73333333333333328</v>
      </c>
      <c r="E377" s="96">
        <v>0.73333333333333328</v>
      </c>
      <c r="F377" s="96">
        <v>0.46666666666666667</v>
      </c>
      <c r="G377" s="83" t="str">
        <f>IF(Table1[[#This Row],[I-E]]&gt;0.5,"I","E") &amp; IF(Table1[[#This Row],[S-N]]&gt;0.5,"S","N") &amp; IF(Table1[[#This Row],[T-F]]&gt;0.5,"T","F") &amp; IF(Table1[[#This Row],[J-P]]&gt;0.5,"J","P")</f>
        <v>ISTP</v>
      </c>
      <c r="H377" s="93">
        <f>VALUE(LEFT(Table1[[#This Row],[Class]], FIND(".",Table1[[#This Row],[Class]])-1))</f>
        <v>12</v>
      </c>
      <c r="I377" s="93">
        <f>VALUE(RIGHT(Table1[[#This Row],[Class]],LEN(Table1[[#This Row],[Class]]) - FIND(".",Table1[[#This Row],[Class]])))</f>
        <v>1</v>
      </c>
    </row>
    <row r="378" spans="1:9" ht="21.6" x14ac:dyDescent="0.25">
      <c r="A378" s="10">
        <v>12135</v>
      </c>
      <c r="B378" s="91">
        <v>12.1</v>
      </c>
      <c r="C378" s="96">
        <v>0.73333333333333328</v>
      </c>
      <c r="D378" s="96">
        <v>0.4</v>
      </c>
      <c r="E378" s="96">
        <v>0.6</v>
      </c>
      <c r="F378" s="96">
        <v>0.46666666666666667</v>
      </c>
      <c r="G378" s="83" t="str">
        <f>IF(Table1[[#This Row],[I-E]]&gt;0.5,"I","E") &amp; IF(Table1[[#This Row],[S-N]]&gt;0.5,"S","N") &amp; IF(Table1[[#This Row],[T-F]]&gt;0.5,"T","F") &amp; IF(Table1[[#This Row],[J-P]]&gt;0.5,"J","P")</f>
        <v>INTP</v>
      </c>
      <c r="H378" s="93">
        <f>VALUE(LEFT(Table1[[#This Row],[Class]], FIND(".",Table1[[#This Row],[Class]])-1))</f>
        <v>12</v>
      </c>
      <c r="I378" s="93">
        <f>VALUE(RIGHT(Table1[[#This Row],[Class]],LEN(Table1[[#This Row],[Class]]) - FIND(".",Table1[[#This Row],[Class]])))</f>
        <v>1</v>
      </c>
    </row>
    <row r="379" spans="1:9" ht="21.6" x14ac:dyDescent="0.25">
      <c r="A379" s="10">
        <v>12136</v>
      </c>
      <c r="B379" s="91">
        <v>12.1</v>
      </c>
      <c r="C379" s="96">
        <v>0.46666666666666667</v>
      </c>
      <c r="D379" s="96">
        <v>0.4</v>
      </c>
      <c r="E379" s="96">
        <v>0.8</v>
      </c>
      <c r="F379" s="96">
        <v>0.53333333333333333</v>
      </c>
      <c r="G379" s="83" t="str">
        <f>IF(Table1[[#This Row],[I-E]]&gt;0.5,"I","E") &amp; IF(Table1[[#This Row],[S-N]]&gt;0.5,"S","N") &amp; IF(Table1[[#This Row],[T-F]]&gt;0.5,"T","F") &amp; IF(Table1[[#This Row],[J-P]]&gt;0.5,"J","P")</f>
        <v>ENTJ</v>
      </c>
      <c r="H379" s="93">
        <f>VALUE(LEFT(Table1[[#This Row],[Class]], FIND(".",Table1[[#This Row],[Class]])-1))</f>
        <v>12</v>
      </c>
      <c r="I379" s="93">
        <f>VALUE(RIGHT(Table1[[#This Row],[Class]],LEN(Table1[[#This Row],[Class]]) - FIND(".",Table1[[#This Row],[Class]])))</f>
        <v>1</v>
      </c>
    </row>
    <row r="380" spans="1:9" ht="21.6" x14ac:dyDescent="0.25">
      <c r="A380" s="10">
        <v>12201</v>
      </c>
      <c r="B380" s="91">
        <v>12.2</v>
      </c>
      <c r="C380" s="96">
        <v>0.66666666666666663</v>
      </c>
      <c r="D380" s="96">
        <v>0.73333333333333328</v>
      </c>
      <c r="E380" s="96">
        <v>0.73333333333333328</v>
      </c>
      <c r="F380" s="96">
        <v>0.4</v>
      </c>
      <c r="G380" s="83" t="str">
        <f>IF(Table1[[#This Row],[I-E]]&gt;0.5,"I","E") &amp; IF(Table1[[#This Row],[S-N]]&gt;0.5,"S","N") &amp; IF(Table1[[#This Row],[T-F]]&gt;0.5,"T","F") &amp; IF(Table1[[#This Row],[J-P]]&gt;0.5,"J","P")</f>
        <v>ISTP</v>
      </c>
      <c r="H380" s="93">
        <f>VALUE(LEFT(Table1[[#This Row],[Class]], FIND(".",Table1[[#This Row],[Class]])-1))</f>
        <v>12</v>
      </c>
      <c r="I380" s="93">
        <f>VALUE(RIGHT(Table1[[#This Row],[Class]],LEN(Table1[[#This Row],[Class]]) - FIND(".",Table1[[#This Row],[Class]])))</f>
        <v>2</v>
      </c>
    </row>
    <row r="381" spans="1:9" ht="21.6" x14ac:dyDescent="0.25">
      <c r="A381" s="10">
        <v>12202</v>
      </c>
      <c r="B381" s="91">
        <v>12.2</v>
      </c>
      <c r="C381" s="96">
        <v>0.73333333333333328</v>
      </c>
      <c r="D381" s="96">
        <v>0.46666666666666667</v>
      </c>
      <c r="E381" s="96">
        <v>0.8666666666666667</v>
      </c>
      <c r="F381" s="96">
        <v>0.46666666666666667</v>
      </c>
      <c r="G381" s="83" t="str">
        <f>IF(Table1[[#This Row],[I-E]]&gt;0.5,"I","E") &amp; IF(Table1[[#This Row],[S-N]]&gt;0.5,"S","N") &amp; IF(Table1[[#This Row],[T-F]]&gt;0.5,"T","F") &amp; IF(Table1[[#This Row],[J-P]]&gt;0.5,"J","P")</f>
        <v>INTP</v>
      </c>
      <c r="H381" s="93">
        <f>VALUE(LEFT(Table1[[#This Row],[Class]], FIND(".",Table1[[#This Row],[Class]])-1))</f>
        <v>12</v>
      </c>
      <c r="I381" s="93">
        <f>VALUE(RIGHT(Table1[[#This Row],[Class]],LEN(Table1[[#This Row],[Class]]) - FIND(".",Table1[[#This Row],[Class]])))</f>
        <v>2</v>
      </c>
    </row>
    <row r="382" spans="1:9" ht="21.6" x14ac:dyDescent="0.25">
      <c r="A382" s="10">
        <v>12203</v>
      </c>
      <c r="B382" s="91">
        <v>12.2</v>
      </c>
      <c r="C382" s="96">
        <v>0.93333333333333335</v>
      </c>
      <c r="D382" s="96">
        <v>0.46666666666666667</v>
      </c>
      <c r="E382" s="96">
        <v>0.6</v>
      </c>
      <c r="F382" s="96">
        <v>0.6</v>
      </c>
      <c r="G382" s="83" t="str">
        <f>IF(Table1[[#This Row],[I-E]]&gt;0.5,"I","E") &amp; IF(Table1[[#This Row],[S-N]]&gt;0.5,"S","N") &amp; IF(Table1[[#This Row],[T-F]]&gt;0.5,"T","F") &amp; IF(Table1[[#This Row],[J-P]]&gt;0.5,"J","P")</f>
        <v>INTJ</v>
      </c>
      <c r="H382" s="93">
        <f>VALUE(LEFT(Table1[[#This Row],[Class]], FIND(".",Table1[[#This Row],[Class]])-1))</f>
        <v>12</v>
      </c>
      <c r="I382" s="93">
        <f>VALUE(RIGHT(Table1[[#This Row],[Class]],LEN(Table1[[#This Row],[Class]]) - FIND(".",Table1[[#This Row],[Class]])))</f>
        <v>2</v>
      </c>
    </row>
    <row r="383" spans="1:9" ht="21.6" x14ac:dyDescent="0.25">
      <c r="A383" s="10">
        <v>12204</v>
      </c>
      <c r="B383" s="91">
        <v>12.2</v>
      </c>
      <c r="C383" s="96">
        <v>0.26666666666666661</v>
      </c>
      <c r="D383" s="96">
        <v>6.6666666666666652E-2</v>
      </c>
      <c r="E383" s="96">
        <v>0.73333333333333328</v>
      </c>
      <c r="F383" s="96">
        <v>0.53333333333333333</v>
      </c>
      <c r="G383" s="83" t="str">
        <f>IF(Table1[[#This Row],[I-E]]&gt;0.5,"I","E") &amp; IF(Table1[[#This Row],[S-N]]&gt;0.5,"S","N") &amp; IF(Table1[[#This Row],[T-F]]&gt;0.5,"T","F") &amp; IF(Table1[[#This Row],[J-P]]&gt;0.5,"J","P")</f>
        <v>ENTJ</v>
      </c>
      <c r="H383" s="93">
        <f>VALUE(LEFT(Table1[[#This Row],[Class]], FIND(".",Table1[[#This Row],[Class]])-1))</f>
        <v>12</v>
      </c>
      <c r="I383" s="93">
        <f>VALUE(RIGHT(Table1[[#This Row],[Class]],LEN(Table1[[#This Row],[Class]]) - FIND(".",Table1[[#This Row],[Class]])))</f>
        <v>2</v>
      </c>
    </row>
    <row r="384" spans="1:9" ht="21.6" x14ac:dyDescent="0.25">
      <c r="A384" s="10">
        <v>12205</v>
      </c>
      <c r="B384" s="91">
        <v>12.2</v>
      </c>
      <c r="C384" s="96">
        <v>0.66666666666666663</v>
      </c>
      <c r="D384" s="96">
        <v>0.26666666666666661</v>
      </c>
      <c r="E384" s="96">
        <v>0.73333333333333328</v>
      </c>
      <c r="F384" s="96">
        <v>0.19999999999999996</v>
      </c>
      <c r="G384" s="83" t="str">
        <f>IF(Table1[[#This Row],[I-E]]&gt;0.5,"I","E") &amp; IF(Table1[[#This Row],[S-N]]&gt;0.5,"S","N") &amp; IF(Table1[[#This Row],[T-F]]&gt;0.5,"T","F") &amp; IF(Table1[[#This Row],[J-P]]&gt;0.5,"J","P")</f>
        <v>INTP</v>
      </c>
      <c r="H384" s="93">
        <f>VALUE(LEFT(Table1[[#This Row],[Class]], FIND(".",Table1[[#This Row],[Class]])-1))</f>
        <v>12</v>
      </c>
      <c r="I384" s="93">
        <f>VALUE(RIGHT(Table1[[#This Row],[Class]],LEN(Table1[[#This Row],[Class]]) - FIND(".",Table1[[#This Row],[Class]])))</f>
        <v>2</v>
      </c>
    </row>
    <row r="385" spans="1:9" ht="21.6" x14ac:dyDescent="0.25">
      <c r="A385" s="10">
        <v>12206</v>
      </c>
      <c r="B385" s="91">
        <v>12.2</v>
      </c>
      <c r="C385" s="96">
        <v>0.66666666666666663</v>
      </c>
      <c r="D385" s="96">
        <v>0.1333333333333333</v>
      </c>
      <c r="E385" s="96">
        <v>0.73333333333333328</v>
      </c>
      <c r="F385" s="96">
        <v>0.73333333333333328</v>
      </c>
      <c r="G385" s="83" t="str">
        <f>IF(Table1[[#This Row],[I-E]]&gt;0.5,"I","E") &amp; IF(Table1[[#This Row],[S-N]]&gt;0.5,"S","N") &amp; IF(Table1[[#This Row],[T-F]]&gt;0.5,"T","F") &amp; IF(Table1[[#This Row],[J-P]]&gt;0.5,"J","P")</f>
        <v>INTJ</v>
      </c>
      <c r="H385" s="93">
        <f>VALUE(LEFT(Table1[[#This Row],[Class]], FIND(".",Table1[[#This Row],[Class]])-1))</f>
        <v>12</v>
      </c>
      <c r="I385" s="93">
        <f>VALUE(RIGHT(Table1[[#This Row],[Class]],LEN(Table1[[#This Row],[Class]]) - FIND(".",Table1[[#This Row],[Class]])))</f>
        <v>2</v>
      </c>
    </row>
    <row r="386" spans="1:9" ht="21.6" x14ac:dyDescent="0.25">
      <c r="A386" s="10">
        <v>12207</v>
      </c>
      <c r="B386" s="91">
        <v>12.2</v>
      </c>
      <c r="C386" s="96">
        <v>0.26666666666666661</v>
      </c>
      <c r="D386" s="96">
        <v>0.4</v>
      </c>
      <c r="E386" s="96">
        <v>0.93333333333333335</v>
      </c>
      <c r="F386" s="96">
        <v>0.8</v>
      </c>
      <c r="G386" s="83" t="str">
        <f>IF(Table1[[#This Row],[I-E]]&gt;0.5,"I","E") &amp; IF(Table1[[#This Row],[S-N]]&gt;0.5,"S","N") &amp; IF(Table1[[#This Row],[T-F]]&gt;0.5,"T","F") &amp; IF(Table1[[#This Row],[J-P]]&gt;0.5,"J","P")</f>
        <v>ENTJ</v>
      </c>
      <c r="H386" s="93">
        <f>VALUE(LEFT(Table1[[#This Row],[Class]], FIND(".",Table1[[#This Row],[Class]])-1))</f>
        <v>12</v>
      </c>
      <c r="I386" s="93">
        <f>VALUE(RIGHT(Table1[[#This Row],[Class]],LEN(Table1[[#This Row],[Class]]) - FIND(".",Table1[[#This Row],[Class]])))</f>
        <v>2</v>
      </c>
    </row>
    <row r="387" spans="1:9" ht="21.6" x14ac:dyDescent="0.25">
      <c r="A387" s="10">
        <v>12208</v>
      </c>
      <c r="B387" s="91">
        <v>12.2</v>
      </c>
      <c r="C387" s="96">
        <v>0.33333333333333326</v>
      </c>
      <c r="D387" s="96">
        <v>0.53333333333333333</v>
      </c>
      <c r="E387" s="96">
        <v>0.46666666666666667</v>
      </c>
      <c r="F387" s="96">
        <v>0.19999999999999996</v>
      </c>
      <c r="G387" s="83" t="str">
        <f>IF(Table1[[#This Row],[I-E]]&gt;0.5,"I","E") &amp; IF(Table1[[#This Row],[S-N]]&gt;0.5,"S","N") &amp; IF(Table1[[#This Row],[T-F]]&gt;0.5,"T","F") &amp; IF(Table1[[#This Row],[J-P]]&gt;0.5,"J","P")</f>
        <v>ESFP</v>
      </c>
      <c r="H387" s="93">
        <f>VALUE(LEFT(Table1[[#This Row],[Class]], FIND(".",Table1[[#This Row],[Class]])-1))</f>
        <v>12</v>
      </c>
      <c r="I387" s="93">
        <f>VALUE(RIGHT(Table1[[#This Row],[Class]],LEN(Table1[[#This Row],[Class]]) - FIND(".",Table1[[#This Row],[Class]])))</f>
        <v>2</v>
      </c>
    </row>
    <row r="388" spans="1:9" ht="21.6" x14ac:dyDescent="0.25">
      <c r="A388" s="10">
        <v>12209</v>
      </c>
      <c r="B388" s="91">
        <v>12.2</v>
      </c>
      <c r="C388" s="96">
        <v>1</v>
      </c>
      <c r="D388" s="96">
        <v>0.6</v>
      </c>
      <c r="E388" s="96">
        <v>0.6</v>
      </c>
      <c r="F388" s="96">
        <v>0.53333333333333333</v>
      </c>
      <c r="G388" s="83" t="str">
        <f>IF(Table1[[#This Row],[I-E]]&gt;0.5,"I","E") &amp; IF(Table1[[#This Row],[S-N]]&gt;0.5,"S","N") &amp; IF(Table1[[#This Row],[T-F]]&gt;0.5,"T","F") &amp; IF(Table1[[#This Row],[J-P]]&gt;0.5,"J","P")</f>
        <v>ISTJ</v>
      </c>
      <c r="H388" s="93">
        <f>VALUE(LEFT(Table1[[#This Row],[Class]], FIND(".",Table1[[#This Row],[Class]])-1))</f>
        <v>12</v>
      </c>
      <c r="I388" s="93">
        <f>VALUE(RIGHT(Table1[[#This Row],[Class]],LEN(Table1[[#This Row],[Class]]) - FIND(".",Table1[[#This Row],[Class]])))</f>
        <v>2</v>
      </c>
    </row>
    <row r="389" spans="1:9" ht="21.6" x14ac:dyDescent="0.25">
      <c r="A389" s="10">
        <v>12210</v>
      </c>
      <c r="B389" s="91">
        <v>12.2</v>
      </c>
      <c r="C389" s="96">
        <v>0.8</v>
      </c>
      <c r="D389" s="96">
        <v>0.53333333333333333</v>
      </c>
      <c r="E389" s="96">
        <v>1</v>
      </c>
      <c r="F389" s="96">
        <v>0.6</v>
      </c>
      <c r="G389" s="83" t="str">
        <f>IF(Table1[[#This Row],[I-E]]&gt;0.5,"I","E") &amp; IF(Table1[[#This Row],[S-N]]&gt;0.5,"S","N") &amp; IF(Table1[[#This Row],[T-F]]&gt;0.5,"T","F") &amp; IF(Table1[[#This Row],[J-P]]&gt;0.5,"J","P")</f>
        <v>ISTJ</v>
      </c>
      <c r="H389" s="93">
        <f>VALUE(LEFT(Table1[[#This Row],[Class]], FIND(".",Table1[[#This Row],[Class]])-1))</f>
        <v>12</v>
      </c>
      <c r="I389" s="93">
        <f>VALUE(RIGHT(Table1[[#This Row],[Class]],LEN(Table1[[#This Row],[Class]]) - FIND(".",Table1[[#This Row],[Class]])))</f>
        <v>2</v>
      </c>
    </row>
    <row r="390" spans="1:9" ht="21.6" x14ac:dyDescent="0.25">
      <c r="A390" s="10">
        <v>12211</v>
      </c>
      <c r="B390" s="91">
        <v>12.2</v>
      </c>
      <c r="C390" s="96">
        <v>0</v>
      </c>
      <c r="D390" s="96">
        <v>0.4</v>
      </c>
      <c r="E390" s="96">
        <v>0.6</v>
      </c>
      <c r="F390" s="96">
        <v>0.19999999999999996</v>
      </c>
      <c r="G390" s="83" t="str">
        <f>IF(Table1[[#This Row],[I-E]]&gt;0.5,"I","E") &amp; IF(Table1[[#This Row],[S-N]]&gt;0.5,"S","N") &amp; IF(Table1[[#This Row],[T-F]]&gt;0.5,"T","F") &amp; IF(Table1[[#This Row],[J-P]]&gt;0.5,"J","P")</f>
        <v>ENTP</v>
      </c>
      <c r="H390" s="93">
        <f>VALUE(LEFT(Table1[[#This Row],[Class]], FIND(".",Table1[[#This Row],[Class]])-1))</f>
        <v>12</v>
      </c>
      <c r="I390" s="93">
        <f>VALUE(RIGHT(Table1[[#This Row],[Class]],LEN(Table1[[#This Row],[Class]]) - FIND(".",Table1[[#This Row],[Class]])))</f>
        <v>2</v>
      </c>
    </row>
    <row r="391" spans="1:9" ht="21.6" x14ac:dyDescent="0.25">
      <c r="A391" s="10">
        <v>12212</v>
      </c>
      <c r="B391" s="91">
        <v>12.2</v>
      </c>
      <c r="C391" s="96">
        <v>0.66666666666666663</v>
      </c>
      <c r="D391" s="96">
        <v>0.33333333333333326</v>
      </c>
      <c r="E391" s="96">
        <v>0.8666666666666667</v>
      </c>
      <c r="F391" s="96">
        <v>0.8</v>
      </c>
      <c r="G391" s="83" t="str">
        <f>IF(Table1[[#This Row],[I-E]]&gt;0.5,"I","E") &amp; IF(Table1[[#This Row],[S-N]]&gt;0.5,"S","N") &amp; IF(Table1[[#This Row],[T-F]]&gt;0.5,"T","F") &amp; IF(Table1[[#This Row],[J-P]]&gt;0.5,"J","P")</f>
        <v>INTJ</v>
      </c>
      <c r="H391" s="93">
        <f>VALUE(LEFT(Table1[[#This Row],[Class]], FIND(".",Table1[[#This Row],[Class]])-1))</f>
        <v>12</v>
      </c>
      <c r="I391" s="93">
        <f>VALUE(RIGHT(Table1[[#This Row],[Class]],LEN(Table1[[#This Row],[Class]]) - FIND(".",Table1[[#This Row],[Class]])))</f>
        <v>2</v>
      </c>
    </row>
    <row r="392" spans="1:9" ht="21.6" x14ac:dyDescent="0.25">
      <c r="A392" s="10">
        <v>12213</v>
      </c>
      <c r="B392" s="91">
        <v>12.2</v>
      </c>
      <c r="C392" s="96">
        <v>0.8</v>
      </c>
      <c r="D392" s="96">
        <v>0.33333333333333326</v>
      </c>
      <c r="E392" s="96">
        <v>0.93333333333333335</v>
      </c>
      <c r="F392" s="96">
        <v>0.6</v>
      </c>
      <c r="G392" s="83" t="str">
        <f>IF(Table1[[#This Row],[I-E]]&gt;0.5,"I","E") &amp; IF(Table1[[#This Row],[S-N]]&gt;0.5,"S","N") &amp; IF(Table1[[#This Row],[T-F]]&gt;0.5,"T","F") &amp; IF(Table1[[#This Row],[J-P]]&gt;0.5,"J","P")</f>
        <v>INTJ</v>
      </c>
      <c r="H392" s="93">
        <f>VALUE(LEFT(Table1[[#This Row],[Class]], FIND(".",Table1[[#This Row],[Class]])-1))</f>
        <v>12</v>
      </c>
      <c r="I392" s="93">
        <f>VALUE(RIGHT(Table1[[#This Row],[Class]],LEN(Table1[[#This Row],[Class]]) - FIND(".",Table1[[#This Row],[Class]])))</f>
        <v>2</v>
      </c>
    </row>
    <row r="393" spans="1:9" ht="21.6" x14ac:dyDescent="0.25">
      <c r="A393" s="10">
        <v>12214</v>
      </c>
      <c r="B393" s="91">
        <v>12.2</v>
      </c>
      <c r="C393" s="96">
        <v>0.93333333333333335</v>
      </c>
      <c r="D393" s="96">
        <v>0.26666666666666661</v>
      </c>
      <c r="E393" s="96">
        <v>0.93333333333333335</v>
      </c>
      <c r="F393" s="96">
        <v>0.33333333333333326</v>
      </c>
      <c r="G393" s="83" t="str">
        <f>IF(Table1[[#This Row],[I-E]]&gt;0.5,"I","E") &amp; IF(Table1[[#This Row],[S-N]]&gt;0.5,"S","N") &amp; IF(Table1[[#This Row],[T-F]]&gt;0.5,"T","F") &amp; IF(Table1[[#This Row],[J-P]]&gt;0.5,"J","P")</f>
        <v>INTP</v>
      </c>
      <c r="H393" s="93">
        <f>VALUE(LEFT(Table1[[#This Row],[Class]], FIND(".",Table1[[#This Row],[Class]])-1))</f>
        <v>12</v>
      </c>
      <c r="I393" s="93">
        <f>VALUE(RIGHT(Table1[[#This Row],[Class]],LEN(Table1[[#This Row],[Class]]) - FIND(".",Table1[[#This Row],[Class]])))</f>
        <v>2</v>
      </c>
    </row>
    <row r="394" spans="1:9" ht="21.6" x14ac:dyDescent="0.25">
      <c r="A394" s="10">
        <v>12215</v>
      </c>
      <c r="B394" s="91">
        <v>12.2</v>
      </c>
      <c r="C394" s="96">
        <v>0.8666666666666667</v>
      </c>
      <c r="D394" s="96">
        <v>0.46666666666666667</v>
      </c>
      <c r="E394" s="96">
        <v>0.6</v>
      </c>
      <c r="F394" s="96">
        <v>0.46666666666666667</v>
      </c>
      <c r="G394" s="83" t="str">
        <f>IF(Table1[[#This Row],[I-E]]&gt;0.5,"I","E") &amp; IF(Table1[[#This Row],[S-N]]&gt;0.5,"S","N") &amp; IF(Table1[[#This Row],[T-F]]&gt;0.5,"T","F") &amp; IF(Table1[[#This Row],[J-P]]&gt;0.5,"J","P")</f>
        <v>INTP</v>
      </c>
      <c r="H394" s="93">
        <f>VALUE(LEFT(Table1[[#This Row],[Class]], FIND(".",Table1[[#This Row],[Class]])-1))</f>
        <v>12</v>
      </c>
      <c r="I394" s="93">
        <f>VALUE(RIGHT(Table1[[#This Row],[Class]],LEN(Table1[[#This Row],[Class]]) - FIND(".",Table1[[#This Row],[Class]])))</f>
        <v>2</v>
      </c>
    </row>
    <row r="395" spans="1:9" ht="21.6" x14ac:dyDescent="0.25">
      <c r="A395" s="10">
        <v>12216</v>
      </c>
      <c r="B395" s="91">
        <v>12.2</v>
      </c>
      <c r="C395" s="96">
        <v>0.26666666666666661</v>
      </c>
      <c r="D395" s="96">
        <v>0.46666666666666667</v>
      </c>
      <c r="E395" s="96">
        <v>0.73333333333333328</v>
      </c>
      <c r="F395" s="96">
        <v>0.4</v>
      </c>
      <c r="G395" s="83" t="str">
        <f>IF(Table1[[#This Row],[I-E]]&gt;0.5,"I","E") &amp; IF(Table1[[#This Row],[S-N]]&gt;0.5,"S","N") &amp; IF(Table1[[#This Row],[T-F]]&gt;0.5,"T","F") &amp; IF(Table1[[#This Row],[J-P]]&gt;0.5,"J","P")</f>
        <v>ENTP</v>
      </c>
      <c r="H395" s="93">
        <f>VALUE(LEFT(Table1[[#This Row],[Class]], FIND(".",Table1[[#This Row],[Class]])-1))</f>
        <v>12</v>
      </c>
      <c r="I395" s="93">
        <f>VALUE(RIGHT(Table1[[#This Row],[Class]],LEN(Table1[[#This Row],[Class]]) - FIND(".",Table1[[#This Row],[Class]])))</f>
        <v>2</v>
      </c>
    </row>
    <row r="396" spans="1:9" ht="21.6" x14ac:dyDescent="0.25">
      <c r="A396" s="10">
        <v>12217</v>
      </c>
      <c r="B396" s="91">
        <v>12.2</v>
      </c>
      <c r="C396" s="96">
        <v>0.33333333333333326</v>
      </c>
      <c r="D396" s="96">
        <v>0.26666666666666661</v>
      </c>
      <c r="E396" s="96">
        <v>0.6</v>
      </c>
      <c r="F396" s="96">
        <v>0.4</v>
      </c>
      <c r="G396" s="83" t="str">
        <f>IF(Table1[[#This Row],[I-E]]&gt;0.5,"I","E") &amp; IF(Table1[[#This Row],[S-N]]&gt;0.5,"S","N") &amp; IF(Table1[[#This Row],[T-F]]&gt;0.5,"T","F") &amp; IF(Table1[[#This Row],[J-P]]&gt;0.5,"J","P")</f>
        <v>ENTP</v>
      </c>
      <c r="H396" s="93">
        <f>VALUE(LEFT(Table1[[#This Row],[Class]], FIND(".",Table1[[#This Row],[Class]])-1))</f>
        <v>12</v>
      </c>
      <c r="I396" s="93">
        <f>VALUE(RIGHT(Table1[[#This Row],[Class]],LEN(Table1[[#This Row],[Class]]) - FIND(".",Table1[[#This Row],[Class]])))</f>
        <v>2</v>
      </c>
    </row>
    <row r="397" spans="1:9" ht="21.6" x14ac:dyDescent="0.25">
      <c r="A397" s="10">
        <v>12218</v>
      </c>
      <c r="B397" s="91">
        <v>12.2</v>
      </c>
      <c r="C397" s="96">
        <v>0.93333333333333335</v>
      </c>
      <c r="D397" s="96">
        <v>0.66666666666666663</v>
      </c>
      <c r="E397" s="96">
        <v>0.66666666666666663</v>
      </c>
      <c r="F397" s="96">
        <v>0.73333333333333328</v>
      </c>
      <c r="G397" s="83" t="str">
        <f>IF(Table1[[#This Row],[I-E]]&gt;0.5,"I","E") &amp; IF(Table1[[#This Row],[S-N]]&gt;0.5,"S","N") &amp; IF(Table1[[#This Row],[T-F]]&gt;0.5,"T","F") &amp; IF(Table1[[#This Row],[J-P]]&gt;0.5,"J","P")</f>
        <v>ISTJ</v>
      </c>
      <c r="H397" s="93">
        <f>VALUE(LEFT(Table1[[#This Row],[Class]], FIND(".",Table1[[#This Row],[Class]])-1))</f>
        <v>12</v>
      </c>
      <c r="I397" s="93">
        <f>VALUE(RIGHT(Table1[[#This Row],[Class]],LEN(Table1[[#This Row],[Class]]) - FIND(".",Table1[[#This Row],[Class]])))</f>
        <v>2</v>
      </c>
    </row>
    <row r="398" spans="1:9" ht="21.6" x14ac:dyDescent="0.25">
      <c r="A398" s="10">
        <v>12219</v>
      </c>
      <c r="B398" s="91">
        <v>12.2</v>
      </c>
      <c r="C398" s="96">
        <v>0.33333333333333326</v>
      </c>
      <c r="D398" s="96">
        <v>0.66666666666666663</v>
      </c>
      <c r="E398" s="96">
        <v>0.93333333333333335</v>
      </c>
      <c r="F398" s="96">
        <v>0.53333333333333333</v>
      </c>
      <c r="G398" s="83" t="str">
        <f>IF(Table1[[#This Row],[I-E]]&gt;0.5,"I","E") &amp; IF(Table1[[#This Row],[S-N]]&gt;0.5,"S","N") &amp; IF(Table1[[#This Row],[T-F]]&gt;0.5,"T","F") &amp; IF(Table1[[#This Row],[J-P]]&gt;0.5,"J","P")</f>
        <v>ESTJ</v>
      </c>
      <c r="H398" s="93">
        <f>VALUE(LEFT(Table1[[#This Row],[Class]], FIND(".",Table1[[#This Row],[Class]])-1))</f>
        <v>12</v>
      </c>
      <c r="I398" s="93">
        <f>VALUE(RIGHT(Table1[[#This Row],[Class]],LEN(Table1[[#This Row],[Class]]) - FIND(".",Table1[[#This Row],[Class]])))</f>
        <v>2</v>
      </c>
    </row>
    <row r="399" spans="1:9" ht="21.6" x14ac:dyDescent="0.25">
      <c r="A399" s="10">
        <v>12220</v>
      </c>
      <c r="B399" s="91">
        <v>12.2</v>
      </c>
      <c r="C399" s="96">
        <v>0.8</v>
      </c>
      <c r="D399" s="96">
        <v>0.33333333333333326</v>
      </c>
      <c r="E399" s="96">
        <v>0.93333333333333335</v>
      </c>
      <c r="F399" s="96">
        <v>0.1333333333333333</v>
      </c>
      <c r="G399" s="83" t="str">
        <f>IF(Table1[[#This Row],[I-E]]&gt;0.5,"I","E") &amp; IF(Table1[[#This Row],[S-N]]&gt;0.5,"S","N") &amp; IF(Table1[[#This Row],[T-F]]&gt;0.5,"T","F") &amp; IF(Table1[[#This Row],[J-P]]&gt;0.5,"J","P")</f>
        <v>INTP</v>
      </c>
      <c r="H399" s="93">
        <f>VALUE(LEFT(Table1[[#This Row],[Class]], FIND(".",Table1[[#This Row],[Class]])-1))</f>
        <v>12</v>
      </c>
      <c r="I399" s="93">
        <f>VALUE(RIGHT(Table1[[#This Row],[Class]],LEN(Table1[[#This Row],[Class]]) - FIND(".",Table1[[#This Row],[Class]])))</f>
        <v>2</v>
      </c>
    </row>
    <row r="400" spans="1:9" ht="21.6" x14ac:dyDescent="0.25">
      <c r="A400" s="10">
        <v>12221</v>
      </c>
      <c r="B400" s="91">
        <v>12.2</v>
      </c>
      <c r="C400" s="96">
        <v>1</v>
      </c>
      <c r="D400" s="96">
        <v>0.4</v>
      </c>
      <c r="E400" s="96">
        <v>1</v>
      </c>
      <c r="F400" s="96">
        <v>0.8</v>
      </c>
      <c r="G400" s="83" t="str">
        <f>IF(Table1[[#This Row],[I-E]]&gt;0.5,"I","E") &amp; IF(Table1[[#This Row],[S-N]]&gt;0.5,"S","N") &amp; IF(Table1[[#This Row],[T-F]]&gt;0.5,"T","F") &amp; IF(Table1[[#This Row],[J-P]]&gt;0.5,"J","P")</f>
        <v>INTJ</v>
      </c>
      <c r="H400" s="93">
        <f>VALUE(LEFT(Table1[[#This Row],[Class]], FIND(".",Table1[[#This Row],[Class]])-1))</f>
        <v>12</v>
      </c>
      <c r="I400" s="93">
        <f>VALUE(RIGHT(Table1[[#This Row],[Class]],LEN(Table1[[#This Row],[Class]]) - FIND(".",Table1[[#This Row],[Class]])))</f>
        <v>2</v>
      </c>
    </row>
    <row r="401" spans="1:9" ht="21.6" x14ac:dyDescent="0.25">
      <c r="A401" s="10">
        <v>12222</v>
      </c>
      <c r="B401" s="91">
        <v>12.2</v>
      </c>
      <c r="C401" s="96">
        <v>0.4</v>
      </c>
      <c r="D401" s="96">
        <v>0.8</v>
      </c>
      <c r="E401" s="96">
        <v>0.53333333333333333</v>
      </c>
      <c r="F401" s="96">
        <v>0</v>
      </c>
      <c r="G401" s="83" t="str">
        <f>IF(Table1[[#This Row],[I-E]]&gt;0.5,"I","E") &amp; IF(Table1[[#This Row],[S-N]]&gt;0.5,"S","N") &amp; IF(Table1[[#This Row],[T-F]]&gt;0.5,"T","F") &amp; IF(Table1[[#This Row],[J-P]]&gt;0.5,"J","P")</f>
        <v>ESTP</v>
      </c>
      <c r="H401" s="93">
        <f>VALUE(LEFT(Table1[[#This Row],[Class]], FIND(".",Table1[[#This Row],[Class]])-1))</f>
        <v>12</v>
      </c>
      <c r="I401" s="93">
        <f>VALUE(RIGHT(Table1[[#This Row],[Class]],LEN(Table1[[#This Row],[Class]]) - FIND(".",Table1[[#This Row],[Class]])))</f>
        <v>2</v>
      </c>
    </row>
    <row r="402" spans="1:9" ht="21.6" x14ac:dyDescent="0.25">
      <c r="A402" s="10">
        <v>12223</v>
      </c>
      <c r="B402" s="91">
        <v>12.2</v>
      </c>
      <c r="C402" s="96">
        <v>0.8</v>
      </c>
      <c r="D402" s="96">
        <v>0.73333333333333328</v>
      </c>
      <c r="E402" s="96">
        <v>0.8</v>
      </c>
      <c r="F402" s="96">
        <v>0.4</v>
      </c>
      <c r="G402" s="83" t="str">
        <f>IF(Table1[[#This Row],[I-E]]&gt;0.5,"I","E") &amp; IF(Table1[[#This Row],[S-N]]&gt;0.5,"S","N") &amp; IF(Table1[[#This Row],[T-F]]&gt;0.5,"T","F") &amp; IF(Table1[[#This Row],[J-P]]&gt;0.5,"J","P")</f>
        <v>ISTP</v>
      </c>
      <c r="H402" s="93">
        <f>VALUE(LEFT(Table1[[#This Row],[Class]], FIND(".",Table1[[#This Row],[Class]])-1))</f>
        <v>12</v>
      </c>
      <c r="I402" s="93">
        <f>VALUE(RIGHT(Table1[[#This Row],[Class]],LEN(Table1[[#This Row],[Class]]) - FIND(".",Table1[[#This Row],[Class]])))</f>
        <v>2</v>
      </c>
    </row>
    <row r="403" spans="1:9" ht="21.6" x14ac:dyDescent="0.25">
      <c r="A403" s="10">
        <v>12224</v>
      </c>
      <c r="B403" s="91">
        <v>12.2</v>
      </c>
      <c r="C403" s="96">
        <v>1</v>
      </c>
      <c r="D403" s="96">
        <v>0.66666666666666663</v>
      </c>
      <c r="E403" s="96">
        <v>0.6</v>
      </c>
      <c r="F403" s="96">
        <v>0.66666666666666663</v>
      </c>
      <c r="G403" s="83" t="str">
        <f>IF(Table1[[#This Row],[I-E]]&gt;0.5,"I","E") &amp; IF(Table1[[#This Row],[S-N]]&gt;0.5,"S","N") &amp; IF(Table1[[#This Row],[T-F]]&gt;0.5,"T","F") &amp; IF(Table1[[#This Row],[J-P]]&gt;0.5,"J","P")</f>
        <v>ISTJ</v>
      </c>
      <c r="H403" s="93">
        <f>VALUE(LEFT(Table1[[#This Row],[Class]], FIND(".",Table1[[#This Row],[Class]])-1))</f>
        <v>12</v>
      </c>
      <c r="I403" s="93">
        <f>VALUE(RIGHT(Table1[[#This Row],[Class]],LEN(Table1[[#This Row],[Class]]) - FIND(".",Table1[[#This Row],[Class]])))</f>
        <v>2</v>
      </c>
    </row>
    <row r="404" spans="1:9" ht="21.6" x14ac:dyDescent="0.25">
      <c r="A404" s="10">
        <v>12225</v>
      </c>
      <c r="B404" s="91">
        <v>12.2</v>
      </c>
      <c r="C404" s="96">
        <v>0.4</v>
      </c>
      <c r="D404" s="96">
        <v>0.4</v>
      </c>
      <c r="E404" s="96">
        <v>0.8666666666666667</v>
      </c>
      <c r="F404" s="96">
        <v>0</v>
      </c>
      <c r="G404" s="83" t="str">
        <f>IF(Table1[[#This Row],[I-E]]&gt;0.5,"I","E") &amp; IF(Table1[[#This Row],[S-N]]&gt;0.5,"S","N") &amp; IF(Table1[[#This Row],[T-F]]&gt;0.5,"T","F") &amp; IF(Table1[[#This Row],[J-P]]&gt;0.5,"J","P")</f>
        <v>ENTP</v>
      </c>
      <c r="H404" s="93">
        <f>VALUE(LEFT(Table1[[#This Row],[Class]], FIND(".",Table1[[#This Row],[Class]])-1))</f>
        <v>12</v>
      </c>
      <c r="I404" s="93">
        <f>VALUE(RIGHT(Table1[[#This Row],[Class]],LEN(Table1[[#This Row],[Class]]) - FIND(".",Table1[[#This Row],[Class]])))</f>
        <v>2</v>
      </c>
    </row>
    <row r="405" spans="1:9" ht="21.6" x14ac:dyDescent="0.25">
      <c r="A405" s="10">
        <v>12226</v>
      </c>
      <c r="B405" s="91">
        <v>12.2</v>
      </c>
      <c r="C405" s="96">
        <v>0.4</v>
      </c>
      <c r="D405" s="96">
        <v>0.73333333333333328</v>
      </c>
      <c r="E405" s="96">
        <v>0.93333333333333335</v>
      </c>
      <c r="F405" s="96">
        <v>0.33333333333333326</v>
      </c>
      <c r="G405" s="83" t="str">
        <f>IF(Table1[[#This Row],[I-E]]&gt;0.5,"I","E") &amp; IF(Table1[[#This Row],[S-N]]&gt;0.5,"S","N") &amp; IF(Table1[[#This Row],[T-F]]&gt;0.5,"T","F") &amp; IF(Table1[[#This Row],[J-P]]&gt;0.5,"J","P")</f>
        <v>ESTP</v>
      </c>
      <c r="H405" s="93">
        <f>VALUE(LEFT(Table1[[#This Row],[Class]], FIND(".",Table1[[#This Row],[Class]])-1))</f>
        <v>12</v>
      </c>
      <c r="I405" s="93">
        <f>VALUE(RIGHT(Table1[[#This Row],[Class]],LEN(Table1[[#This Row],[Class]]) - FIND(".",Table1[[#This Row],[Class]])))</f>
        <v>2</v>
      </c>
    </row>
    <row r="406" spans="1:9" ht="21.6" x14ac:dyDescent="0.25">
      <c r="A406" s="10">
        <v>12227</v>
      </c>
      <c r="B406" s="91">
        <v>12.2</v>
      </c>
      <c r="C406" s="96">
        <v>0.4</v>
      </c>
      <c r="D406" s="96">
        <v>0.66666666666666663</v>
      </c>
      <c r="E406" s="96">
        <v>0.73333333333333328</v>
      </c>
      <c r="F406" s="96">
        <v>0.6</v>
      </c>
      <c r="G406" s="83" t="str">
        <f>IF(Table1[[#This Row],[I-E]]&gt;0.5,"I","E") &amp; IF(Table1[[#This Row],[S-N]]&gt;0.5,"S","N") &amp; IF(Table1[[#This Row],[T-F]]&gt;0.5,"T","F") &amp; IF(Table1[[#This Row],[J-P]]&gt;0.5,"J","P")</f>
        <v>ESTJ</v>
      </c>
      <c r="H406" s="93">
        <f>VALUE(LEFT(Table1[[#This Row],[Class]], FIND(".",Table1[[#This Row],[Class]])-1))</f>
        <v>12</v>
      </c>
      <c r="I406" s="93">
        <f>VALUE(RIGHT(Table1[[#This Row],[Class]],LEN(Table1[[#This Row],[Class]]) - FIND(".",Table1[[#This Row],[Class]])))</f>
        <v>2</v>
      </c>
    </row>
    <row r="407" spans="1:9" ht="21.6" x14ac:dyDescent="0.25">
      <c r="A407" s="10">
        <v>12228</v>
      </c>
      <c r="B407" s="91">
        <v>12.2</v>
      </c>
      <c r="C407" s="96">
        <v>0.6</v>
      </c>
      <c r="D407" s="96">
        <v>0.26666666666666661</v>
      </c>
      <c r="E407" s="96">
        <v>0.53333333333333333</v>
      </c>
      <c r="F407" s="96">
        <v>0.66666666666666663</v>
      </c>
      <c r="G407" s="83" t="str">
        <f>IF(Table1[[#This Row],[I-E]]&gt;0.5,"I","E") &amp; IF(Table1[[#This Row],[S-N]]&gt;0.5,"S","N") &amp; IF(Table1[[#This Row],[T-F]]&gt;0.5,"T","F") &amp; IF(Table1[[#This Row],[J-P]]&gt;0.5,"J","P")</f>
        <v>INTJ</v>
      </c>
      <c r="H407" s="93">
        <f>VALUE(LEFT(Table1[[#This Row],[Class]], FIND(".",Table1[[#This Row],[Class]])-1))</f>
        <v>12</v>
      </c>
      <c r="I407" s="93">
        <f>VALUE(RIGHT(Table1[[#This Row],[Class]],LEN(Table1[[#This Row],[Class]]) - FIND(".",Table1[[#This Row],[Class]])))</f>
        <v>2</v>
      </c>
    </row>
    <row r="408" spans="1:9" ht="21.6" x14ac:dyDescent="0.25">
      <c r="A408" s="10">
        <v>12229</v>
      </c>
      <c r="B408" s="91">
        <v>12.2</v>
      </c>
      <c r="C408" s="96">
        <v>0.66666666666666663</v>
      </c>
      <c r="D408" s="96">
        <v>0.66666666666666663</v>
      </c>
      <c r="E408" s="96">
        <v>0.6</v>
      </c>
      <c r="F408" s="96">
        <v>0.73333333333333328</v>
      </c>
      <c r="G408" s="83" t="str">
        <f>IF(Table1[[#This Row],[I-E]]&gt;0.5,"I","E") &amp; IF(Table1[[#This Row],[S-N]]&gt;0.5,"S","N") &amp; IF(Table1[[#This Row],[T-F]]&gt;0.5,"T","F") &amp; IF(Table1[[#This Row],[J-P]]&gt;0.5,"J","P")</f>
        <v>ISTJ</v>
      </c>
      <c r="H408" s="93">
        <f>VALUE(LEFT(Table1[[#This Row],[Class]], FIND(".",Table1[[#This Row],[Class]])-1))</f>
        <v>12</v>
      </c>
      <c r="I408" s="93">
        <f>VALUE(RIGHT(Table1[[#This Row],[Class]],LEN(Table1[[#This Row],[Class]]) - FIND(".",Table1[[#This Row],[Class]])))</f>
        <v>2</v>
      </c>
    </row>
    <row r="409" spans="1:9" ht="21.6" x14ac:dyDescent="0.25">
      <c r="A409" s="10">
        <v>12230</v>
      </c>
      <c r="B409" s="91">
        <v>12.2</v>
      </c>
      <c r="C409" s="96">
        <v>0.53333333333333333</v>
      </c>
      <c r="D409" s="96">
        <v>0.93333333333333335</v>
      </c>
      <c r="E409" s="96">
        <v>0.66666666666666663</v>
      </c>
      <c r="F409" s="96">
        <v>0.46666666666666667</v>
      </c>
      <c r="G409" s="83" t="str">
        <f>IF(Table1[[#This Row],[I-E]]&gt;0.5,"I","E") &amp; IF(Table1[[#This Row],[S-N]]&gt;0.5,"S","N") &amp; IF(Table1[[#This Row],[T-F]]&gt;0.5,"T","F") &amp; IF(Table1[[#This Row],[J-P]]&gt;0.5,"J","P")</f>
        <v>ISTP</v>
      </c>
      <c r="H409" s="93">
        <f>VALUE(LEFT(Table1[[#This Row],[Class]], FIND(".",Table1[[#This Row],[Class]])-1))</f>
        <v>12</v>
      </c>
      <c r="I409" s="93">
        <f>VALUE(RIGHT(Table1[[#This Row],[Class]],LEN(Table1[[#This Row],[Class]]) - FIND(".",Table1[[#This Row],[Class]])))</f>
        <v>2</v>
      </c>
    </row>
    <row r="410" spans="1:9" ht="21.6" x14ac:dyDescent="0.25">
      <c r="A410" s="10">
        <v>12231</v>
      </c>
      <c r="B410" s="91">
        <v>12.2</v>
      </c>
      <c r="C410" s="96">
        <v>0.8</v>
      </c>
      <c r="D410" s="96">
        <v>0.33333333333333326</v>
      </c>
      <c r="E410" s="96">
        <v>0.93333333333333335</v>
      </c>
      <c r="F410" s="96">
        <v>0.33333333333333326</v>
      </c>
      <c r="G410" s="83" t="str">
        <f>IF(Table1[[#This Row],[I-E]]&gt;0.5,"I","E") &amp; IF(Table1[[#This Row],[S-N]]&gt;0.5,"S","N") &amp; IF(Table1[[#This Row],[T-F]]&gt;0.5,"T","F") &amp; IF(Table1[[#This Row],[J-P]]&gt;0.5,"J","P")</f>
        <v>INTP</v>
      </c>
      <c r="H410" s="93">
        <f>VALUE(LEFT(Table1[[#This Row],[Class]], FIND(".",Table1[[#This Row],[Class]])-1))</f>
        <v>12</v>
      </c>
      <c r="I410" s="93">
        <f>VALUE(RIGHT(Table1[[#This Row],[Class]],LEN(Table1[[#This Row],[Class]]) - FIND(".",Table1[[#This Row],[Class]])))</f>
        <v>2</v>
      </c>
    </row>
    <row r="411" spans="1:9" ht="21.6" x14ac:dyDescent="0.25">
      <c r="A411" s="10">
        <v>12232</v>
      </c>
      <c r="B411" s="91">
        <v>12.2</v>
      </c>
      <c r="C411" s="96">
        <v>0.93333333333333335</v>
      </c>
      <c r="D411" s="96">
        <v>0.66666666666666663</v>
      </c>
      <c r="E411" s="96">
        <v>0.8666666666666667</v>
      </c>
      <c r="F411" s="96">
        <v>0.1333333333333333</v>
      </c>
      <c r="G411" s="83" t="str">
        <f>IF(Table1[[#This Row],[I-E]]&gt;0.5,"I","E") &amp; IF(Table1[[#This Row],[S-N]]&gt;0.5,"S","N") &amp; IF(Table1[[#This Row],[T-F]]&gt;0.5,"T","F") &amp; IF(Table1[[#This Row],[J-P]]&gt;0.5,"J","P")</f>
        <v>ISTP</v>
      </c>
      <c r="H411" s="93">
        <f>VALUE(LEFT(Table1[[#This Row],[Class]], FIND(".",Table1[[#This Row],[Class]])-1))</f>
        <v>12</v>
      </c>
      <c r="I411" s="93">
        <f>VALUE(RIGHT(Table1[[#This Row],[Class]],LEN(Table1[[#This Row],[Class]]) - FIND(".",Table1[[#This Row],[Class]])))</f>
        <v>2</v>
      </c>
    </row>
    <row r="412" spans="1:9" ht="21.6" x14ac:dyDescent="0.25">
      <c r="A412" s="10">
        <v>12233</v>
      </c>
      <c r="B412" s="91">
        <v>12.2</v>
      </c>
      <c r="C412" s="96">
        <v>0.6</v>
      </c>
      <c r="D412" s="96">
        <v>0.53333333333333333</v>
      </c>
      <c r="E412" s="96">
        <v>0.33333333333333326</v>
      </c>
      <c r="F412" s="96">
        <v>0.1333333333333333</v>
      </c>
      <c r="G412" s="83" t="str">
        <f>IF(Table1[[#This Row],[I-E]]&gt;0.5,"I","E") &amp; IF(Table1[[#This Row],[S-N]]&gt;0.5,"S","N") &amp; IF(Table1[[#This Row],[T-F]]&gt;0.5,"T","F") &amp; IF(Table1[[#This Row],[J-P]]&gt;0.5,"J","P")</f>
        <v>ISFP</v>
      </c>
      <c r="H412" s="93">
        <f>VALUE(LEFT(Table1[[#This Row],[Class]], FIND(".",Table1[[#This Row],[Class]])-1))</f>
        <v>12</v>
      </c>
      <c r="I412" s="93">
        <f>VALUE(RIGHT(Table1[[#This Row],[Class]],LEN(Table1[[#This Row],[Class]]) - FIND(".",Table1[[#This Row],[Class]])))</f>
        <v>2</v>
      </c>
    </row>
    <row r="413" spans="1:9" ht="21.6" x14ac:dyDescent="0.25">
      <c r="A413" s="10">
        <v>12234</v>
      </c>
      <c r="B413" s="91">
        <v>12.2</v>
      </c>
      <c r="C413" s="96">
        <v>0.8666666666666667</v>
      </c>
      <c r="D413" s="96">
        <v>0.19999999999999996</v>
      </c>
      <c r="E413" s="96">
        <v>1</v>
      </c>
      <c r="F413" s="96">
        <v>0.33333333333333326</v>
      </c>
      <c r="G413" s="83" t="str">
        <f>IF(Table1[[#This Row],[I-E]]&gt;0.5,"I","E") &amp; IF(Table1[[#This Row],[S-N]]&gt;0.5,"S","N") &amp; IF(Table1[[#This Row],[T-F]]&gt;0.5,"T","F") &amp; IF(Table1[[#This Row],[J-P]]&gt;0.5,"J","P")</f>
        <v>INTP</v>
      </c>
      <c r="H413" s="93">
        <f>VALUE(LEFT(Table1[[#This Row],[Class]], FIND(".",Table1[[#This Row],[Class]])-1))</f>
        <v>12</v>
      </c>
      <c r="I413" s="93">
        <f>VALUE(RIGHT(Table1[[#This Row],[Class]],LEN(Table1[[#This Row],[Class]]) - FIND(".",Table1[[#This Row],[Class]])))</f>
        <v>2</v>
      </c>
    </row>
  </sheetData>
  <sheetProtection selectLockedCells="1"/>
  <dataConsolidate/>
  <phoneticPr fontId="37" type="noConversion"/>
  <conditionalFormatting sqref="C2:F413">
    <cfRule type="colorScale" priority="1">
      <colorScale>
        <cfvo type="num" val="0"/>
        <cfvo type="num" val="0.5"/>
        <cfvo type="num" val="1"/>
        <color rgb="FFFF0000"/>
        <color rgb="FFFCFCFF"/>
        <color rgb="FF0070C0"/>
      </colorScale>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87F8D-91DE-45E8-95E1-70D240E0826D}">
  <dimension ref="B3:L22"/>
  <sheetViews>
    <sheetView showGridLines="0" showRowColHeaders="0" zoomScale="130" zoomScaleNormal="130" workbookViewId="0">
      <selection activeCell="H11" sqref="H11"/>
    </sheetView>
  </sheetViews>
  <sheetFormatPr defaultRowHeight="13.2" x14ac:dyDescent="0.25"/>
  <cols>
    <col min="1" max="1" width="3.77734375" customWidth="1"/>
    <col min="2" max="3" width="13.33203125" bestFit="1" customWidth="1"/>
    <col min="4" max="4" width="14.21875" bestFit="1" customWidth="1"/>
    <col min="5" max="6" width="13.88671875" bestFit="1" customWidth="1"/>
    <col min="7" max="9" width="13.33203125" bestFit="1" customWidth="1"/>
    <col min="10" max="10" width="14.21875" bestFit="1" customWidth="1"/>
    <col min="11" max="12" width="13.88671875" customWidth="1"/>
    <col min="13" max="15" width="4.77734375" bestFit="1" customWidth="1"/>
    <col min="16" max="16" width="5.77734375" bestFit="1" customWidth="1"/>
    <col min="17" max="17" width="14" bestFit="1" customWidth="1"/>
    <col min="18" max="19" width="4.77734375" bestFit="1" customWidth="1"/>
    <col min="20" max="20" width="5.6640625" bestFit="1" customWidth="1"/>
    <col min="21" max="30" width="4.77734375" bestFit="1" customWidth="1"/>
    <col min="31" max="31" width="5.77734375" bestFit="1" customWidth="1"/>
    <col min="32" max="32" width="14" bestFit="1" customWidth="1"/>
    <col min="33" max="45" width="4.77734375" bestFit="1" customWidth="1"/>
    <col min="46" max="46" width="5.77734375" bestFit="1" customWidth="1"/>
    <col min="47" max="47" width="19.44140625" bestFit="1" customWidth="1"/>
    <col min="48" max="49" width="19.109375" bestFit="1" customWidth="1"/>
  </cols>
  <sheetData>
    <row r="3" spans="2:12" x14ac:dyDescent="0.25">
      <c r="B3" s="125" t="s">
        <v>180</v>
      </c>
      <c r="C3" s="125" t="s">
        <v>182</v>
      </c>
      <c r="D3" s="125" t="s">
        <v>183</v>
      </c>
      <c r="E3" s="125" t="s">
        <v>184</v>
      </c>
      <c r="F3" s="125" t="s">
        <v>185</v>
      </c>
      <c r="H3" s="125" t="s">
        <v>180</v>
      </c>
      <c r="I3" s="125" t="s">
        <v>182</v>
      </c>
      <c r="J3" s="125" t="s">
        <v>183</v>
      </c>
      <c r="K3" s="125" t="s">
        <v>184</v>
      </c>
      <c r="L3" s="125" t="s">
        <v>185</v>
      </c>
    </row>
    <row r="4" spans="2:12" x14ac:dyDescent="0.25">
      <c r="B4" s="128">
        <v>7</v>
      </c>
      <c r="C4" s="127">
        <v>0.6497175141242939</v>
      </c>
      <c r="D4" s="127">
        <v>0.49039548022598867</v>
      </c>
      <c r="E4" s="127">
        <v>0.68135593220338997</v>
      </c>
      <c r="F4" s="127">
        <v>0.49717514124293788</v>
      </c>
      <c r="H4" s="126">
        <v>7</v>
      </c>
      <c r="I4" s="127">
        <v>0.6497175141242939</v>
      </c>
      <c r="J4" s="127">
        <v>0.49039548022598867</v>
      </c>
      <c r="K4" s="127">
        <v>0.68135593220338997</v>
      </c>
      <c r="L4" s="127">
        <v>0.49717514124293788</v>
      </c>
    </row>
    <row r="5" spans="2:12" x14ac:dyDescent="0.25">
      <c r="B5" s="129">
        <v>1</v>
      </c>
      <c r="C5" s="127">
        <v>0.61999999999999988</v>
      </c>
      <c r="D5" s="127">
        <v>0.49555555555555553</v>
      </c>
      <c r="E5" s="127">
        <v>0.67111111111111132</v>
      </c>
      <c r="F5" s="127">
        <v>0.54000000000000015</v>
      </c>
      <c r="H5" s="126">
        <v>8</v>
      </c>
      <c r="I5" s="127">
        <v>0.61044176706827347</v>
      </c>
      <c r="J5" s="127">
        <v>0.49317269076305198</v>
      </c>
      <c r="K5" s="127">
        <v>0.69558232931726893</v>
      </c>
      <c r="L5" s="127">
        <v>0.53734939759036116</v>
      </c>
    </row>
    <row r="6" spans="2:12" x14ac:dyDescent="0.25">
      <c r="B6" s="129">
        <v>2</v>
      </c>
      <c r="C6" s="127">
        <v>0.68045977011494241</v>
      </c>
      <c r="D6" s="127">
        <v>0.48505747126436777</v>
      </c>
      <c r="E6" s="127">
        <v>0.69195402298850583</v>
      </c>
      <c r="F6" s="127">
        <v>0.45287356321839078</v>
      </c>
      <c r="H6" s="126">
        <v>9</v>
      </c>
      <c r="I6" s="127">
        <v>0.56060606060606089</v>
      </c>
      <c r="J6" s="127">
        <v>0.49696969696969695</v>
      </c>
      <c r="K6" s="127">
        <v>0.75151515151515147</v>
      </c>
      <c r="L6" s="127">
        <v>0.49393939393939396</v>
      </c>
    </row>
    <row r="7" spans="2:12" x14ac:dyDescent="0.25">
      <c r="B7" s="128">
        <v>8</v>
      </c>
      <c r="C7" s="127">
        <v>0.61044176706827347</v>
      </c>
      <c r="D7" s="127">
        <v>0.49317269076305198</v>
      </c>
      <c r="E7" s="127">
        <v>0.69558232931726893</v>
      </c>
      <c r="F7" s="127">
        <v>0.53734939759036116</v>
      </c>
      <c r="H7" s="126">
        <v>10</v>
      </c>
      <c r="I7" s="127">
        <v>0.62828282828282844</v>
      </c>
      <c r="J7" s="127">
        <v>0.49696969696969684</v>
      </c>
      <c r="K7" s="127">
        <v>0.70606060606060606</v>
      </c>
      <c r="L7" s="127">
        <v>0.48888888888888887</v>
      </c>
    </row>
    <row r="8" spans="2:12" x14ac:dyDescent="0.25">
      <c r="B8" s="129">
        <v>1</v>
      </c>
      <c r="C8" s="127">
        <v>0.6440251572327047</v>
      </c>
      <c r="D8" s="127">
        <v>0.5132075471698111</v>
      </c>
      <c r="E8" s="127">
        <v>0.71572327044025152</v>
      </c>
      <c r="F8" s="127">
        <v>0.52955974842767284</v>
      </c>
      <c r="H8" s="126">
        <v>11</v>
      </c>
      <c r="I8" s="127">
        <v>0.6284313725490196</v>
      </c>
      <c r="J8" s="127">
        <v>0.50294117647058845</v>
      </c>
      <c r="K8" s="127">
        <v>0.74999999999999989</v>
      </c>
      <c r="L8" s="127">
        <v>0.51764705882352935</v>
      </c>
    </row>
    <row r="9" spans="2:12" x14ac:dyDescent="0.25">
      <c r="B9" s="129">
        <v>2</v>
      </c>
      <c r="C9" s="127">
        <v>0.551111111111111</v>
      </c>
      <c r="D9" s="127">
        <v>0.45777777777777778</v>
      </c>
      <c r="E9" s="127">
        <v>0.65999999999999992</v>
      </c>
      <c r="F9" s="127">
        <v>0.551111111111111</v>
      </c>
      <c r="H9" s="126">
        <v>12</v>
      </c>
      <c r="I9" s="127">
        <v>0.6466666666666665</v>
      </c>
      <c r="J9" s="127">
        <v>0.48761904761904751</v>
      </c>
      <c r="K9" s="127">
        <v>0.77333333333333332</v>
      </c>
      <c r="L9" s="127">
        <v>0.46761904761904766</v>
      </c>
    </row>
    <row r="10" spans="2:12" x14ac:dyDescent="0.25">
      <c r="B10" s="128">
        <v>9</v>
      </c>
      <c r="C10" s="127">
        <v>0.56060606060606089</v>
      </c>
      <c r="D10" s="127">
        <v>0.49696969696969695</v>
      </c>
      <c r="E10" s="127">
        <v>0.75151515151515147</v>
      </c>
      <c r="F10" s="127">
        <v>0.49393939393939396</v>
      </c>
      <c r="H10" s="126" t="s">
        <v>181</v>
      </c>
      <c r="I10" s="127">
        <v>0.62006472491909326</v>
      </c>
      <c r="J10" s="127">
        <v>0.49466019417475737</v>
      </c>
      <c r="K10" s="127">
        <v>0.72637540453074556</v>
      </c>
      <c r="L10" s="127">
        <v>0.50177993527508058</v>
      </c>
    </row>
    <row r="11" spans="2:12" x14ac:dyDescent="0.25">
      <c r="B11" s="129">
        <v>1</v>
      </c>
      <c r="C11" s="127">
        <v>0.55833333333333335</v>
      </c>
      <c r="D11" s="127">
        <v>0.53125</v>
      </c>
      <c r="E11" s="127">
        <v>0.76666666666666705</v>
      </c>
      <c r="F11" s="127">
        <v>0.52083333333333337</v>
      </c>
    </row>
    <row r="12" spans="2:12" x14ac:dyDescent="0.25">
      <c r="B12" s="129">
        <v>2</v>
      </c>
      <c r="C12" s="127">
        <v>0.56274509803921546</v>
      </c>
      <c r="D12" s="127">
        <v>0.46470588235294108</v>
      </c>
      <c r="E12" s="127">
        <v>0.73725490196078447</v>
      </c>
      <c r="F12" s="127">
        <v>0.4686274509803921</v>
      </c>
    </row>
    <row r="13" spans="2:12" x14ac:dyDescent="0.25">
      <c r="B13" s="128">
        <v>10</v>
      </c>
      <c r="C13" s="127">
        <v>0.62828282828282844</v>
      </c>
      <c r="D13" s="127">
        <v>0.49696969696969684</v>
      </c>
      <c r="E13" s="127">
        <v>0.70606060606060606</v>
      </c>
      <c r="F13" s="127">
        <v>0.48888888888888887</v>
      </c>
    </row>
    <row r="14" spans="2:12" x14ac:dyDescent="0.25">
      <c r="B14" s="129">
        <v>1</v>
      </c>
      <c r="C14" s="127">
        <v>0.62857142857142867</v>
      </c>
      <c r="D14" s="127">
        <v>0.51047619047619031</v>
      </c>
      <c r="E14" s="127">
        <v>0.72761904761904805</v>
      </c>
      <c r="F14" s="127">
        <v>0.48952380952380953</v>
      </c>
    </row>
    <row r="15" spans="2:12" x14ac:dyDescent="0.25">
      <c r="B15" s="129">
        <v>2</v>
      </c>
      <c r="C15" s="127">
        <v>0.62795698924731169</v>
      </c>
      <c r="D15" s="127">
        <v>0.48172043010752685</v>
      </c>
      <c r="E15" s="127">
        <v>0.68172043010752714</v>
      </c>
      <c r="F15" s="127">
        <v>0.48817204301075257</v>
      </c>
    </row>
    <row r="16" spans="2:12" x14ac:dyDescent="0.25">
      <c r="B16" s="128">
        <v>11</v>
      </c>
      <c r="C16" s="127">
        <v>0.6284313725490196</v>
      </c>
      <c r="D16" s="127">
        <v>0.50294117647058845</v>
      </c>
      <c r="E16" s="127">
        <v>0.74999999999999989</v>
      </c>
      <c r="F16" s="127">
        <v>0.51764705882352935</v>
      </c>
    </row>
    <row r="17" spans="2:6" x14ac:dyDescent="0.25">
      <c r="B17" s="129">
        <v>1</v>
      </c>
      <c r="C17" s="127">
        <v>0.6215686274509804</v>
      </c>
      <c r="D17" s="127">
        <v>0.50784313725490193</v>
      </c>
      <c r="E17" s="127">
        <v>0.79215686274509822</v>
      </c>
      <c r="F17" s="127">
        <v>0.54313725490196074</v>
      </c>
    </row>
    <row r="18" spans="2:6" x14ac:dyDescent="0.25">
      <c r="B18" s="129">
        <v>2</v>
      </c>
      <c r="C18" s="127">
        <v>0.6352941176470589</v>
      </c>
      <c r="D18" s="127">
        <v>0.49803921568627452</v>
      </c>
      <c r="E18" s="127">
        <v>0.70784313725490211</v>
      </c>
      <c r="F18" s="127">
        <v>0.49215686274509785</v>
      </c>
    </row>
    <row r="19" spans="2:6" x14ac:dyDescent="0.25">
      <c r="B19" s="128">
        <v>12</v>
      </c>
      <c r="C19" s="127">
        <v>0.6466666666666665</v>
      </c>
      <c r="D19" s="127">
        <v>0.48761904761904751</v>
      </c>
      <c r="E19" s="127">
        <v>0.77333333333333332</v>
      </c>
      <c r="F19" s="127">
        <v>0.46761904761904766</v>
      </c>
    </row>
    <row r="20" spans="2:6" x14ac:dyDescent="0.25">
      <c r="B20" s="129">
        <v>1</v>
      </c>
      <c r="C20" s="127">
        <v>0.65555555555555556</v>
      </c>
      <c r="D20" s="127">
        <v>0.49259259259259264</v>
      </c>
      <c r="E20" s="127">
        <v>0.79259259259259296</v>
      </c>
      <c r="F20" s="127">
        <v>0.48518518518518516</v>
      </c>
    </row>
    <row r="21" spans="2:6" x14ac:dyDescent="0.25">
      <c r="B21" s="129">
        <v>2</v>
      </c>
      <c r="C21" s="127">
        <v>0.6372549019607846</v>
      </c>
      <c r="D21" s="127">
        <v>0.48235294117647054</v>
      </c>
      <c r="E21" s="127">
        <v>0.75294117647058845</v>
      </c>
      <c r="F21" s="127">
        <v>0.44901960784313716</v>
      </c>
    </row>
    <row r="22" spans="2:6" x14ac:dyDescent="0.25">
      <c r="B22" s="128" t="s">
        <v>181</v>
      </c>
      <c r="C22" s="127">
        <v>0.62006472491909326</v>
      </c>
      <c r="D22" s="127">
        <v>0.49466019417475737</v>
      </c>
      <c r="E22" s="127">
        <v>0.72637540453074556</v>
      </c>
      <c r="F22" s="127">
        <v>0.50177993527508058</v>
      </c>
    </row>
  </sheetData>
  <sheetProtection selectLockedCells="1"/>
  <conditionalFormatting pivot="1" sqref="C5:F6 C8:F9 C11:F12 C14:F15 C17:F18 C20:F21">
    <cfRule type="colorScale" priority="3">
      <colorScale>
        <cfvo type="min"/>
        <cfvo type="num" val="0.5"/>
        <cfvo type="max"/>
        <color rgb="FFF8696B"/>
        <color rgb="FFFCFCFF"/>
        <color rgb="FF5A8AC6"/>
      </colorScale>
    </cfRule>
  </conditionalFormatting>
  <conditionalFormatting pivot="1" sqref="I4:L9">
    <cfRule type="colorScale" priority="1">
      <colorScale>
        <cfvo type="min"/>
        <cfvo type="num" val="0.5"/>
        <cfvo type="max"/>
        <color rgb="FFF8696B"/>
        <color rgb="FFFCFCFF"/>
        <color rgb="FF5A8AC6"/>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5DCAD-B7F9-4CD7-A681-5A2D342DEE55}">
  <dimension ref="A1"/>
  <sheetViews>
    <sheetView showGridLines="0" showRowColHeaders="0" zoomScale="120" zoomScaleNormal="120" workbookViewId="0">
      <selection activeCell="L32" sqref="L32"/>
    </sheetView>
  </sheetViews>
  <sheetFormatPr defaultRowHeight="13.2" x14ac:dyDescent="0.25"/>
  <cols>
    <col min="1" max="7" width="8.88671875" style="97"/>
    <col min="8" max="8" width="13.33203125" style="97" bestFit="1" customWidth="1"/>
    <col min="9" max="9" width="10" style="97" bestFit="1" customWidth="1"/>
    <col min="10" max="10" width="10.88671875" style="97" bestFit="1" customWidth="1"/>
    <col min="11" max="12" width="10.5546875" style="97" bestFit="1" customWidth="1"/>
    <col min="13" max="16384" width="8.88671875" style="97"/>
  </cols>
  <sheetData/>
  <sheetProtection selectLockedCells="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201EA54-05F7-42FF-A8A4-E6BD4081B70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Questions</vt:lpstr>
      <vt:lpstr>Concat</vt:lpstr>
      <vt:lpstr>Process</vt:lpstr>
      <vt:lpstr>Types</vt:lpstr>
      <vt:lpstr>Data</vt:lpstr>
      <vt:lpstr>Pivot</vt:lpstr>
      <vt:lpstr>Chart</vt:lpstr>
      <vt:lpstr>Questions!Criteria</vt:lpstr>
      <vt:lpstr>Concat!Print_Area</vt:lpstr>
    </vt:vector>
  </TitlesOfParts>
  <Company>pentium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Helli</dc:creator>
  <cp:lastModifiedBy>erfan biabi</cp:lastModifiedBy>
  <cp:lastPrinted>2012-01-25T09:13:55Z</cp:lastPrinted>
  <dcterms:created xsi:type="dcterms:W3CDTF">2004-11-26T17:32:17Z</dcterms:created>
  <dcterms:modified xsi:type="dcterms:W3CDTF">2026-03-26T13:05:59Z</dcterms:modified>
</cp:coreProperties>
</file>